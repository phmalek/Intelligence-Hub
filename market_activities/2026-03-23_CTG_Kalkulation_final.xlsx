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porsche.sharepoint.com/sites/SEAStakeholders/Shared Documents/Close the Gap 2.0/Briefings &amp; Foreceasts/"/>
    </mc:Choice>
  </mc:AlternateContent>
  <xr:revisionPtr revIDLastSave="0" documentId="8_{63C8FCED-3FFA-413F-820B-7693EA039C7B}" xr6:coauthVersionLast="47" xr6:coauthVersionMax="47" xr10:uidLastSave="{00000000-0000-0000-0000-000000000000}"/>
  <bookViews>
    <workbookView xWindow="-120" yWindow="-120" windowWidth="29040" windowHeight="15720" firstSheet="3" activeTab="3" xr2:uid="{00000000-000D-0000-FFFF-FFFF00000000}"/>
  </bookViews>
  <sheets>
    <sheet name="Gesamtplanung" sheetId="12" r:id="rId1"/>
    <sheet name="Media Mix" sheetId="13" r:id="rId2"/>
    <sheet name="Zeitstrahl nach Markt" sheetId="17" r:id="rId3"/>
    <sheet name="Survey Rohdaten_20.4." sheetId="20" r:id="rId4"/>
    <sheet name="Survey_Rohdaten" sheetId="18" r:id="rId5"/>
    <sheet name="Survey Rohdaten_10.4." sheetId="19" state="hidden" r:id="rId6"/>
  </sheets>
  <externalReferences>
    <externalReference r:id="rId7"/>
  </externalReferences>
  <definedNames>
    <definedName name="_xlnm._FilterDatabase" localSheetId="3" hidden="1">'Survey Rohdaten_20.4.'!$A$1:$FJ$22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33" i="17" l="1"/>
  <c r="AR33" i="17"/>
  <c r="AQ33" i="17"/>
  <c r="AP33" i="17"/>
  <c r="AO33" i="17"/>
  <c r="AN33" i="17"/>
  <c r="AM33" i="17"/>
  <c r="AL33" i="17"/>
  <c r="AK33" i="17"/>
  <c r="AJ33" i="17"/>
  <c r="AI33" i="17"/>
  <c r="AH33" i="17"/>
  <c r="AG33" i="17"/>
  <c r="AF33" i="17"/>
  <c r="AE33" i="17"/>
  <c r="AD33" i="17"/>
  <c r="AC33" i="17"/>
  <c r="AB33" i="17"/>
  <c r="AS32" i="17"/>
  <c r="AR32" i="17"/>
  <c r="AQ32" i="17"/>
  <c r="AP32" i="17"/>
  <c r="AO32" i="17"/>
  <c r="AN32" i="17"/>
  <c r="AM32" i="17"/>
  <c r="AL32" i="17"/>
  <c r="AK32" i="17"/>
  <c r="AJ32" i="17"/>
  <c r="AI32" i="17"/>
  <c r="AH32" i="17"/>
  <c r="AG32" i="17"/>
  <c r="AF32" i="17"/>
  <c r="AE32" i="17"/>
  <c r="AD32" i="17"/>
  <c r="AC32" i="17"/>
  <c r="AB32" i="17"/>
  <c r="AB31" i="17"/>
  <c r="AC31" i="17"/>
  <c r="AD31" i="17"/>
  <c r="AE31" i="17"/>
  <c r="AF31" i="17"/>
  <c r="AG31" i="17"/>
  <c r="AH31" i="17"/>
  <c r="AI31" i="17"/>
  <c r="AJ31" i="17"/>
  <c r="AK31" i="17"/>
  <c r="AL31" i="17"/>
  <c r="AM31" i="17"/>
  <c r="AN31" i="17"/>
  <c r="AO31" i="17"/>
  <c r="AP31" i="17"/>
  <c r="AQ31" i="17"/>
  <c r="AR31" i="17"/>
  <c r="AS31" i="17"/>
  <c r="AS6" i="17"/>
  <c r="AR6" i="17"/>
  <c r="AQ6" i="17"/>
  <c r="AP6" i="17"/>
  <c r="AO6" i="17"/>
  <c r="AN6" i="17"/>
  <c r="AM6" i="17"/>
  <c r="AL6" i="17"/>
  <c r="AK6" i="17"/>
  <c r="AJ6" i="17"/>
  <c r="AI6" i="17"/>
  <c r="AH6" i="17"/>
  <c r="AG6" i="17"/>
  <c r="AF6" i="17"/>
  <c r="AE6" i="17"/>
  <c r="AD6" i="17"/>
  <c r="AC6" i="17"/>
  <c r="AB6" i="17"/>
  <c r="AB20" i="17"/>
  <c r="AC20" i="17"/>
  <c r="AD20" i="17"/>
  <c r="AE20" i="17"/>
  <c r="AF20" i="17"/>
  <c r="AG20" i="17"/>
  <c r="AH20" i="17"/>
  <c r="AI20" i="17"/>
  <c r="AJ20" i="17"/>
  <c r="AK20" i="17"/>
  <c r="AL20" i="17"/>
  <c r="AM20" i="17"/>
  <c r="AN20" i="17"/>
  <c r="AO20" i="17"/>
  <c r="AP20" i="17"/>
  <c r="AQ20" i="17"/>
  <c r="AR20" i="17"/>
  <c r="AS20" i="17"/>
  <c r="AB21" i="17"/>
  <c r="AC21" i="17"/>
  <c r="AD21" i="17"/>
  <c r="AE21" i="17"/>
  <c r="AF21" i="17"/>
  <c r="AG21" i="17"/>
  <c r="AH21" i="17"/>
  <c r="AI21" i="17"/>
  <c r="AJ21" i="17"/>
  <c r="AK21" i="17"/>
  <c r="AL21" i="17"/>
  <c r="AM21" i="17"/>
  <c r="AN21" i="17"/>
  <c r="AO21" i="17"/>
  <c r="AP21" i="17"/>
  <c r="AQ21" i="17"/>
  <c r="AR21" i="17"/>
  <c r="AS21" i="17"/>
  <c r="AB22" i="17"/>
  <c r="AC22" i="17"/>
  <c r="AD22" i="17"/>
  <c r="AE22" i="17"/>
  <c r="AF22" i="17"/>
  <c r="AG22" i="17"/>
  <c r="AH22" i="17"/>
  <c r="AI22" i="17"/>
  <c r="AJ22" i="17"/>
  <c r="AK22" i="17"/>
  <c r="AL22" i="17"/>
  <c r="AM22" i="17"/>
  <c r="AN22" i="17"/>
  <c r="AO22" i="17"/>
  <c r="AP22" i="17"/>
  <c r="AQ22" i="17"/>
  <c r="AR22" i="17"/>
  <c r="AS22" i="17"/>
  <c r="AB23" i="17"/>
  <c r="AC23" i="17"/>
  <c r="AD23" i="17"/>
  <c r="AE23" i="17"/>
  <c r="AF23" i="17"/>
  <c r="AG23" i="17"/>
  <c r="AH23" i="17"/>
  <c r="AI23" i="17"/>
  <c r="AJ23" i="17"/>
  <c r="AK23" i="17"/>
  <c r="AL23" i="17"/>
  <c r="AM23" i="17"/>
  <c r="AN23" i="17"/>
  <c r="AO23" i="17"/>
  <c r="AP23" i="17"/>
  <c r="AQ23" i="17"/>
  <c r="AR23" i="17"/>
  <c r="AS23" i="17"/>
  <c r="AB24" i="17"/>
  <c r="AC24" i="17"/>
  <c r="AD24" i="17"/>
  <c r="AE24" i="17"/>
  <c r="AF24" i="17"/>
  <c r="AG24" i="17"/>
  <c r="AH24" i="17"/>
  <c r="AI24" i="17"/>
  <c r="AJ24" i="17"/>
  <c r="AK24" i="17"/>
  <c r="AL24" i="17"/>
  <c r="AM24" i="17"/>
  <c r="AN24" i="17"/>
  <c r="AO24" i="17"/>
  <c r="AP24" i="17"/>
  <c r="AQ24" i="17"/>
  <c r="AR24" i="17"/>
  <c r="AS24" i="17"/>
  <c r="AB25" i="17"/>
  <c r="AC25" i="17"/>
  <c r="AD25" i="17"/>
  <c r="AE25" i="17"/>
  <c r="AF25" i="17"/>
  <c r="AG25" i="17"/>
  <c r="AH25" i="17"/>
  <c r="AI25" i="17"/>
  <c r="AJ25" i="17"/>
  <c r="AK25" i="17"/>
  <c r="AL25" i="17"/>
  <c r="AM25" i="17"/>
  <c r="AN25" i="17"/>
  <c r="AO25" i="17"/>
  <c r="AP25" i="17"/>
  <c r="AQ25" i="17"/>
  <c r="AR25" i="17"/>
  <c r="AS25" i="17"/>
  <c r="AB26" i="17"/>
  <c r="AC26" i="17"/>
  <c r="AD26" i="17"/>
  <c r="AE26" i="17"/>
  <c r="AF26" i="17"/>
  <c r="AG26" i="17"/>
  <c r="AH26" i="17"/>
  <c r="AI26" i="17"/>
  <c r="AJ26" i="17"/>
  <c r="AK26" i="17"/>
  <c r="AL26" i="17"/>
  <c r="AM26" i="17"/>
  <c r="AN26" i="17"/>
  <c r="AO26" i="17"/>
  <c r="AP26" i="17"/>
  <c r="AQ26" i="17"/>
  <c r="AR26" i="17"/>
  <c r="AS26" i="17"/>
  <c r="AB27" i="17"/>
  <c r="AC27" i="17"/>
  <c r="AD27" i="17"/>
  <c r="AE27" i="17"/>
  <c r="AF27" i="17"/>
  <c r="AG27" i="17"/>
  <c r="AH27" i="17"/>
  <c r="AI27" i="17"/>
  <c r="AJ27" i="17"/>
  <c r="AK27" i="17"/>
  <c r="AL27" i="17"/>
  <c r="AM27" i="17"/>
  <c r="AN27" i="17"/>
  <c r="AO27" i="17"/>
  <c r="AP27" i="17"/>
  <c r="AQ27" i="17"/>
  <c r="AR27" i="17"/>
  <c r="AS27" i="17"/>
  <c r="AB28" i="17"/>
  <c r="AC28" i="17"/>
  <c r="AD28" i="17"/>
  <c r="AE28" i="17"/>
  <c r="AF28" i="17"/>
  <c r="AG28" i="17"/>
  <c r="AH28" i="17"/>
  <c r="AI28" i="17"/>
  <c r="AJ28" i="17"/>
  <c r="AK28" i="17"/>
  <c r="AL28" i="17"/>
  <c r="AM28" i="17"/>
  <c r="AN28" i="17"/>
  <c r="AO28" i="17"/>
  <c r="AP28" i="17"/>
  <c r="AQ28" i="17"/>
  <c r="AR28" i="17"/>
  <c r="AS28" i="17"/>
  <c r="AB45" i="17"/>
  <c r="AC45" i="17"/>
  <c r="AD45" i="17"/>
  <c r="AE45" i="17"/>
  <c r="AF45" i="17"/>
  <c r="AG45" i="17"/>
  <c r="AH45" i="17"/>
  <c r="AI45" i="17"/>
  <c r="AJ45" i="17"/>
  <c r="AK45" i="17"/>
  <c r="AL45" i="17"/>
  <c r="AM45" i="17"/>
  <c r="AN45" i="17"/>
  <c r="AO45" i="17"/>
  <c r="AP45" i="17"/>
  <c r="AQ45" i="17"/>
  <c r="AR45" i="17"/>
  <c r="AS45" i="17"/>
  <c r="AB46" i="17"/>
  <c r="AC46" i="17"/>
  <c r="AD46" i="17"/>
  <c r="AE46" i="17"/>
  <c r="AF46" i="17"/>
  <c r="AG46" i="17"/>
  <c r="AH46" i="17"/>
  <c r="AI46" i="17"/>
  <c r="AJ46" i="17"/>
  <c r="AK46" i="17"/>
  <c r="AL46" i="17"/>
  <c r="AM46" i="17"/>
  <c r="AN46" i="17"/>
  <c r="AO46" i="17"/>
  <c r="AP46" i="17"/>
  <c r="AQ46" i="17"/>
  <c r="AR46" i="17"/>
  <c r="AS46" i="17"/>
  <c r="AB47" i="17"/>
  <c r="AC47" i="17"/>
  <c r="AD47" i="17"/>
  <c r="AE47" i="17"/>
  <c r="AF47" i="17"/>
  <c r="AG47" i="17"/>
  <c r="AH47" i="17"/>
  <c r="AI47" i="17"/>
  <c r="AJ47" i="17"/>
  <c r="AK47" i="17"/>
  <c r="AL47" i="17"/>
  <c r="AM47" i="17"/>
  <c r="AN47" i="17"/>
  <c r="AO47" i="17"/>
  <c r="AP47" i="17"/>
  <c r="AQ47" i="17"/>
  <c r="AR47" i="17"/>
  <c r="AS47" i="17"/>
  <c r="AB48" i="17"/>
  <c r="AC48" i="17"/>
  <c r="AD48" i="17"/>
  <c r="AE48" i="17"/>
  <c r="AF48" i="17"/>
  <c r="AG48" i="17"/>
  <c r="AH48" i="17"/>
  <c r="AI48" i="17"/>
  <c r="AJ48" i="17"/>
  <c r="AK48" i="17"/>
  <c r="AL48" i="17"/>
  <c r="AM48" i="17"/>
  <c r="AN48" i="17"/>
  <c r="AO48" i="17"/>
  <c r="AP48" i="17"/>
  <c r="AQ48" i="17"/>
  <c r="AR48" i="17"/>
  <c r="AS48" i="17"/>
  <c r="AB49" i="17"/>
  <c r="AC49" i="17"/>
  <c r="AD49" i="17"/>
  <c r="AE49" i="17"/>
  <c r="AF49" i="17"/>
  <c r="AG49" i="17"/>
  <c r="AH49" i="17"/>
  <c r="AI49" i="17"/>
  <c r="AJ49" i="17"/>
  <c r="AK49" i="17"/>
  <c r="AL49" i="17"/>
  <c r="AM49" i="17"/>
  <c r="AN49" i="17"/>
  <c r="AO49" i="17"/>
  <c r="AP49" i="17"/>
  <c r="AQ49" i="17"/>
  <c r="AR49" i="17"/>
  <c r="AS49" i="17"/>
  <c r="AB50" i="17"/>
  <c r="AC50" i="17"/>
  <c r="AD50" i="17"/>
  <c r="AE50" i="17"/>
  <c r="AF50" i="17"/>
  <c r="AG50" i="17"/>
  <c r="AH50" i="17"/>
  <c r="AI50" i="17"/>
  <c r="AJ50" i="17"/>
  <c r="AK50" i="17"/>
  <c r="AL50" i="17"/>
  <c r="AM50" i="17"/>
  <c r="AN50" i="17"/>
  <c r="AO50" i="17"/>
  <c r="AP50" i="17"/>
  <c r="AQ50" i="17"/>
  <c r="AR50" i="17"/>
  <c r="AS50" i="17"/>
  <c r="AB51" i="17"/>
  <c r="AC51" i="17"/>
  <c r="AD51" i="17"/>
  <c r="AE51" i="17"/>
  <c r="AF51" i="17"/>
  <c r="AG51" i="17"/>
  <c r="AH51" i="17"/>
  <c r="AI51" i="17"/>
  <c r="AJ51" i="17"/>
  <c r="AK51" i="17"/>
  <c r="AL51" i="17"/>
  <c r="AM51" i="17"/>
  <c r="AN51" i="17"/>
  <c r="AO51" i="17"/>
  <c r="AP51" i="17"/>
  <c r="AQ51" i="17"/>
  <c r="AR51" i="17"/>
  <c r="AS51" i="17"/>
  <c r="AB59" i="17"/>
  <c r="AC59" i="17"/>
  <c r="AD59" i="17"/>
  <c r="AE59" i="17"/>
  <c r="AF59" i="17"/>
  <c r="AG59" i="17"/>
  <c r="AH59" i="17"/>
  <c r="AI59" i="17"/>
  <c r="AJ59" i="17"/>
  <c r="AK59" i="17"/>
  <c r="AL59" i="17"/>
  <c r="AM59" i="17"/>
  <c r="AN59" i="17"/>
  <c r="AO59" i="17"/>
  <c r="AP59" i="17"/>
  <c r="AQ59" i="17"/>
  <c r="AR59" i="17"/>
  <c r="AS59" i="17"/>
  <c r="AB60" i="17"/>
  <c r="AC60" i="17"/>
  <c r="AD60" i="17"/>
  <c r="AE60" i="17"/>
  <c r="AF60" i="17"/>
  <c r="AG60" i="17"/>
  <c r="AH60" i="17"/>
  <c r="AI60" i="17"/>
  <c r="AJ60" i="17"/>
  <c r="AK60" i="17"/>
  <c r="AL60" i="17"/>
  <c r="AM60" i="17"/>
  <c r="AN60" i="17"/>
  <c r="AO60" i="17"/>
  <c r="AP60" i="17"/>
  <c r="AQ60" i="17"/>
  <c r="AR60" i="17"/>
  <c r="AS60" i="17"/>
  <c r="AB61" i="17"/>
  <c r="AC61" i="17"/>
  <c r="AD61" i="17"/>
  <c r="AE61" i="17"/>
  <c r="AF61" i="17"/>
  <c r="AG61" i="17"/>
  <c r="AH61" i="17"/>
  <c r="AI61" i="17"/>
  <c r="AJ61" i="17"/>
  <c r="AK61" i="17"/>
  <c r="AL61" i="17"/>
  <c r="AM61" i="17"/>
  <c r="AN61" i="17"/>
  <c r="AO61" i="17"/>
  <c r="AP61" i="17"/>
  <c r="AQ61" i="17"/>
  <c r="AR61" i="17"/>
  <c r="AS61" i="17"/>
  <c r="AB73" i="17"/>
  <c r="AC73" i="17"/>
  <c r="AD73" i="17"/>
  <c r="AE73" i="17"/>
  <c r="AF73" i="17"/>
  <c r="AG73" i="17"/>
  <c r="AH73" i="17"/>
  <c r="AI73" i="17"/>
  <c r="AJ73" i="17"/>
  <c r="AK73" i="17"/>
  <c r="AL73" i="17"/>
  <c r="AM73" i="17"/>
  <c r="AN73" i="17"/>
  <c r="AO73" i="17"/>
  <c r="AP73" i="17"/>
  <c r="AQ73" i="17"/>
  <c r="AR73" i="17"/>
  <c r="AS73" i="17"/>
  <c r="AB74" i="17"/>
  <c r="AC74" i="17"/>
  <c r="AD74" i="17"/>
  <c r="AE74" i="17"/>
  <c r="AF74" i="17"/>
  <c r="AG74" i="17"/>
  <c r="AH74" i="17"/>
  <c r="AI74" i="17"/>
  <c r="AJ74" i="17"/>
  <c r="AK74" i="17"/>
  <c r="AL74" i="17"/>
  <c r="AM74" i="17"/>
  <c r="AN74" i="17"/>
  <c r="AO74" i="17"/>
  <c r="AP74" i="17"/>
  <c r="AQ74" i="17"/>
  <c r="AR74" i="17"/>
  <c r="AS74" i="17"/>
  <c r="AB84" i="17"/>
  <c r="AC84" i="17"/>
  <c r="AD84" i="17"/>
  <c r="AE84" i="17"/>
  <c r="AF84" i="17"/>
  <c r="AG84" i="17"/>
  <c r="AH84" i="17"/>
  <c r="AI84" i="17"/>
  <c r="AJ84" i="17"/>
  <c r="AK84" i="17"/>
  <c r="AL84" i="17"/>
  <c r="AM84" i="17"/>
  <c r="AN84" i="17"/>
  <c r="AO84" i="17"/>
  <c r="AP84" i="17"/>
  <c r="AQ84" i="17"/>
  <c r="AR84" i="17"/>
  <c r="AS84" i="17"/>
  <c r="AB85" i="17"/>
  <c r="AC85" i="17"/>
  <c r="AD85" i="17"/>
  <c r="AE85" i="17"/>
  <c r="AF85" i="17"/>
  <c r="AG85" i="17"/>
  <c r="AH85" i="17"/>
  <c r="AI85" i="17"/>
  <c r="AJ85" i="17"/>
  <c r="AK85" i="17"/>
  <c r="AL85" i="17"/>
  <c r="AM85" i="17"/>
  <c r="AN85" i="17"/>
  <c r="AO85" i="17"/>
  <c r="AP85" i="17"/>
  <c r="AQ85" i="17"/>
  <c r="AR85" i="17"/>
  <c r="AS85" i="17"/>
  <c r="AB86" i="17"/>
  <c r="AC86" i="17"/>
  <c r="AD86" i="17"/>
  <c r="AE86" i="17"/>
  <c r="AF86" i="17"/>
  <c r="AG86" i="17"/>
  <c r="AH86" i="17"/>
  <c r="AI86" i="17"/>
  <c r="AJ86" i="17"/>
  <c r="AK86" i="17"/>
  <c r="AL86" i="17"/>
  <c r="AM86" i="17"/>
  <c r="AN86" i="17"/>
  <c r="AO86" i="17"/>
  <c r="AP86" i="17"/>
  <c r="AQ86" i="17"/>
  <c r="AR86" i="17"/>
  <c r="AS86" i="17"/>
  <c r="AB98" i="17"/>
  <c r="AC98" i="17"/>
  <c r="AD98" i="17"/>
  <c r="AE98" i="17"/>
  <c r="AF98" i="17"/>
  <c r="AG98" i="17"/>
  <c r="AH98" i="17"/>
  <c r="AI98" i="17"/>
  <c r="AJ98" i="17"/>
  <c r="AK98" i="17"/>
  <c r="AL98" i="17"/>
  <c r="AM98" i="17"/>
  <c r="AN98" i="17"/>
  <c r="AO98" i="17"/>
  <c r="AP98" i="17"/>
  <c r="AQ98" i="17"/>
  <c r="AR98" i="17"/>
  <c r="AS98" i="17"/>
  <c r="AB99" i="17"/>
  <c r="AC99" i="17"/>
  <c r="AD99" i="17"/>
  <c r="AE99" i="17"/>
  <c r="AF99" i="17"/>
  <c r="AG99" i="17"/>
  <c r="AH99" i="17"/>
  <c r="AI99" i="17"/>
  <c r="AJ99" i="17"/>
  <c r="AK99" i="17"/>
  <c r="AL99" i="17"/>
  <c r="AM99" i="17"/>
  <c r="AN99" i="17"/>
  <c r="AO99" i="17"/>
  <c r="AP99" i="17"/>
  <c r="AQ99" i="17"/>
  <c r="AR99" i="17"/>
  <c r="AS99" i="17"/>
  <c r="AB100" i="17"/>
  <c r="AC100" i="17"/>
  <c r="AD100" i="17"/>
  <c r="AE100" i="17"/>
  <c r="AF100" i="17"/>
  <c r="AG100" i="17"/>
  <c r="AH100" i="17"/>
  <c r="AI100" i="17"/>
  <c r="AJ100" i="17"/>
  <c r="AK100" i="17"/>
  <c r="AL100" i="17"/>
  <c r="AM100" i="17"/>
  <c r="AN100" i="17"/>
  <c r="AO100" i="17"/>
  <c r="AP100" i="17"/>
  <c r="AQ100" i="17"/>
  <c r="AR100" i="17"/>
  <c r="AS100" i="17"/>
  <c r="AB101" i="17"/>
  <c r="AC101" i="17"/>
  <c r="AD101" i="17"/>
  <c r="AE101" i="17"/>
  <c r="AF101" i="17"/>
  <c r="AG101" i="17"/>
  <c r="AH101" i="17"/>
  <c r="AI101" i="17"/>
  <c r="AJ101" i="17"/>
  <c r="AK101" i="17"/>
  <c r="AL101" i="17"/>
  <c r="AM101" i="17"/>
  <c r="AN101" i="17"/>
  <c r="AO101" i="17"/>
  <c r="AP101" i="17"/>
  <c r="AQ101" i="17"/>
  <c r="AR101" i="17"/>
  <c r="AS101" i="17"/>
  <c r="AB102" i="17"/>
  <c r="AC102" i="17"/>
  <c r="AD102" i="17"/>
  <c r="AE102" i="17"/>
  <c r="AF102" i="17"/>
  <c r="AG102" i="17"/>
  <c r="AH102" i="17"/>
  <c r="AI102" i="17"/>
  <c r="AJ102" i="17"/>
  <c r="AK102" i="17"/>
  <c r="AL102" i="17"/>
  <c r="AM102" i="17"/>
  <c r="AN102" i="17"/>
  <c r="AO102" i="17"/>
  <c r="AP102" i="17"/>
  <c r="AQ102" i="17"/>
  <c r="AR102" i="17"/>
  <c r="AS102" i="17"/>
  <c r="AB103" i="17"/>
  <c r="AC103" i="17"/>
  <c r="AD103" i="17"/>
  <c r="AE103" i="17"/>
  <c r="AF103" i="17"/>
  <c r="AG103" i="17"/>
  <c r="AH103" i="17"/>
  <c r="AI103" i="17"/>
  <c r="AJ103" i="17"/>
  <c r="AK103" i="17"/>
  <c r="AL103" i="17"/>
  <c r="AM103" i="17"/>
  <c r="AN103" i="17"/>
  <c r="AO103" i="17"/>
  <c r="AP103" i="17"/>
  <c r="AQ103" i="17"/>
  <c r="AR103" i="17"/>
  <c r="AS103" i="17"/>
  <c r="AB104" i="17"/>
  <c r="AC104" i="17"/>
  <c r="AD104" i="17"/>
  <c r="AE104" i="17"/>
  <c r="AF104" i="17"/>
  <c r="AG104" i="17"/>
  <c r="AH104" i="17"/>
  <c r="AI104" i="17"/>
  <c r="AJ104" i="17"/>
  <c r="AK104" i="17"/>
  <c r="AL104" i="17"/>
  <c r="AM104" i="17"/>
  <c r="AN104" i="17"/>
  <c r="AO104" i="17"/>
  <c r="AP104" i="17"/>
  <c r="AQ104" i="17"/>
  <c r="AR104" i="17"/>
  <c r="AS104" i="17"/>
  <c r="AB105" i="17"/>
  <c r="AC105" i="17"/>
  <c r="AD105" i="17"/>
  <c r="AE105" i="17"/>
  <c r="AF105" i="17"/>
  <c r="AG105" i="17"/>
  <c r="AH105" i="17"/>
  <c r="AI105" i="17"/>
  <c r="AJ105" i="17"/>
  <c r="AK105" i="17"/>
  <c r="AL105" i="17"/>
  <c r="AM105" i="17"/>
  <c r="AN105" i="17"/>
  <c r="AO105" i="17"/>
  <c r="AP105" i="17"/>
  <c r="AQ105" i="17"/>
  <c r="AR105" i="17"/>
  <c r="AS105" i="17"/>
  <c r="AB108" i="17"/>
  <c r="AC108" i="17"/>
  <c r="AD108" i="17"/>
  <c r="AE108" i="17"/>
  <c r="AF108" i="17"/>
  <c r="AG108" i="17"/>
  <c r="AH108" i="17"/>
  <c r="AI108" i="17"/>
  <c r="AJ108" i="17"/>
  <c r="AK108" i="17"/>
  <c r="AL108" i="17"/>
  <c r="AM108" i="17"/>
  <c r="AN108" i="17"/>
  <c r="AO108" i="17"/>
  <c r="AP108" i="17"/>
  <c r="AQ108" i="17"/>
  <c r="AR108" i="17"/>
  <c r="AS108" i="17"/>
  <c r="AB109" i="17"/>
  <c r="AC109" i="17"/>
  <c r="AD109" i="17"/>
  <c r="AE109" i="17"/>
  <c r="AF109" i="17"/>
  <c r="AG109" i="17"/>
  <c r="AH109" i="17"/>
  <c r="AI109" i="17"/>
  <c r="AJ109" i="17"/>
  <c r="AK109" i="17"/>
  <c r="AL109" i="17"/>
  <c r="AM109" i="17"/>
  <c r="AN109" i="17"/>
  <c r="AO109" i="17"/>
  <c r="AP109" i="17"/>
  <c r="AQ109" i="17"/>
  <c r="AR109" i="17"/>
  <c r="AS109" i="17"/>
  <c r="AB110" i="17"/>
  <c r="AC110" i="17"/>
  <c r="AD110" i="17"/>
  <c r="AE110" i="17"/>
  <c r="AF110" i="17"/>
  <c r="AG110" i="17"/>
  <c r="AH110" i="17"/>
  <c r="AI110" i="17"/>
  <c r="AJ110" i="17"/>
  <c r="AK110" i="17"/>
  <c r="AL110" i="17"/>
  <c r="AM110" i="17"/>
  <c r="AN110" i="17"/>
  <c r="AO110" i="17"/>
  <c r="AP110" i="17"/>
  <c r="AQ110" i="17"/>
  <c r="AR110" i="17"/>
  <c r="AS110" i="17"/>
  <c r="AB116" i="17"/>
  <c r="AC116" i="17"/>
  <c r="AD116" i="17"/>
  <c r="AE116" i="17"/>
  <c r="AF116" i="17"/>
  <c r="AG116" i="17"/>
  <c r="AH116" i="17"/>
  <c r="AI116" i="17"/>
  <c r="AJ116" i="17"/>
  <c r="AK116" i="17"/>
  <c r="AL116" i="17"/>
  <c r="AM116" i="17"/>
  <c r="AN116" i="17"/>
  <c r="AO116" i="17"/>
  <c r="AP116" i="17"/>
  <c r="AQ116" i="17"/>
  <c r="AR116" i="17"/>
  <c r="AS116" i="17"/>
  <c r="AB117" i="17"/>
  <c r="AC117" i="17"/>
  <c r="AD117" i="17"/>
  <c r="AE117" i="17"/>
  <c r="AF117" i="17"/>
  <c r="AG117" i="17"/>
  <c r="AH117" i="17"/>
  <c r="AI117" i="17"/>
  <c r="AJ117" i="17"/>
  <c r="AK117" i="17"/>
  <c r="AL117" i="17"/>
  <c r="AM117" i="17"/>
  <c r="AN117" i="17"/>
  <c r="AO117" i="17"/>
  <c r="AP117" i="17"/>
  <c r="AQ117" i="17"/>
  <c r="AR117" i="17"/>
  <c r="AS117" i="17"/>
  <c r="AB118" i="17"/>
  <c r="AC118" i="17"/>
  <c r="AD118" i="17"/>
  <c r="AE118" i="17"/>
  <c r="AF118" i="17"/>
  <c r="AG118" i="17"/>
  <c r="AH118" i="17"/>
  <c r="AI118" i="17"/>
  <c r="AJ118" i="17"/>
  <c r="AK118" i="17"/>
  <c r="AL118" i="17"/>
  <c r="AM118" i="17"/>
  <c r="AN118" i="17"/>
  <c r="AO118" i="17"/>
  <c r="AP118" i="17"/>
  <c r="AQ118" i="17"/>
  <c r="AR118" i="17"/>
  <c r="AS118" i="17"/>
  <c r="AB119" i="17"/>
  <c r="AC119" i="17"/>
  <c r="AD119" i="17"/>
  <c r="AE119" i="17"/>
  <c r="AF119" i="17"/>
  <c r="AG119" i="17"/>
  <c r="AH119" i="17"/>
  <c r="AI119" i="17"/>
  <c r="AJ119" i="17"/>
  <c r="AK119" i="17"/>
  <c r="AL119" i="17"/>
  <c r="AM119" i="17"/>
  <c r="AN119" i="17"/>
  <c r="AO119" i="17"/>
  <c r="AP119" i="17"/>
  <c r="AQ119" i="17"/>
  <c r="AR119" i="17"/>
  <c r="AS119" i="17"/>
  <c r="AB124" i="17"/>
  <c r="AC124" i="17"/>
  <c r="AD124" i="17"/>
  <c r="AE124" i="17"/>
  <c r="AF124" i="17"/>
  <c r="AG124" i="17"/>
  <c r="AH124" i="17"/>
  <c r="AI124" i="17"/>
  <c r="AJ124" i="17"/>
  <c r="AK124" i="17"/>
  <c r="AL124" i="17"/>
  <c r="AM124" i="17"/>
  <c r="AN124" i="17"/>
  <c r="AO124" i="17"/>
  <c r="AP124" i="17"/>
  <c r="AQ124" i="17"/>
  <c r="AR124" i="17"/>
  <c r="AS124" i="17"/>
  <c r="AB125" i="17"/>
  <c r="AC125" i="17"/>
  <c r="AD125" i="17"/>
  <c r="AE125" i="17"/>
  <c r="AF125" i="17"/>
  <c r="AG125" i="17"/>
  <c r="AH125" i="17"/>
  <c r="AI125" i="17"/>
  <c r="AJ125" i="17"/>
  <c r="AK125" i="17"/>
  <c r="AL125" i="17"/>
  <c r="AM125" i="17"/>
  <c r="AN125" i="17"/>
  <c r="AO125" i="17"/>
  <c r="AP125" i="17"/>
  <c r="AQ125" i="17"/>
  <c r="AR125" i="17"/>
  <c r="AS125" i="17"/>
  <c r="AB126" i="17"/>
  <c r="AC126" i="17"/>
  <c r="AD126" i="17"/>
  <c r="AE126" i="17"/>
  <c r="AF126" i="17"/>
  <c r="AG126" i="17"/>
  <c r="AH126" i="17"/>
  <c r="AI126" i="17"/>
  <c r="AJ126" i="17"/>
  <c r="AK126" i="17"/>
  <c r="AL126" i="17"/>
  <c r="AM126" i="17"/>
  <c r="AN126" i="17"/>
  <c r="AO126" i="17"/>
  <c r="AP126" i="17"/>
  <c r="AQ126" i="17"/>
  <c r="AR126" i="17"/>
  <c r="AS126" i="17"/>
  <c r="AB127" i="17"/>
  <c r="AC127" i="17"/>
  <c r="AD127" i="17"/>
  <c r="AE127" i="17"/>
  <c r="AF127" i="17"/>
  <c r="AG127" i="17"/>
  <c r="AH127" i="17"/>
  <c r="AI127" i="17"/>
  <c r="AJ127" i="17"/>
  <c r="AK127" i="17"/>
  <c r="AL127" i="17"/>
  <c r="AM127" i="17"/>
  <c r="AN127" i="17"/>
  <c r="AO127" i="17"/>
  <c r="AP127" i="17"/>
  <c r="AQ127" i="17"/>
  <c r="AR127" i="17"/>
  <c r="AS127" i="17"/>
  <c r="AB128" i="17"/>
  <c r="AC128" i="17"/>
  <c r="AD128" i="17"/>
  <c r="AE128" i="17"/>
  <c r="AF128" i="17"/>
  <c r="AG128" i="17"/>
  <c r="AH128" i="17"/>
  <c r="AI128" i="17"/>
  <c r="AJ128" i="17"/>
  <c r="AK128" i="17"/>
  <c r="AL128" i="17"/>
  <c r="AM128" i="17"/>
  <c r="AN128" i="17"/>
  <c r="AO128" i="17"/>
  <c r="AP128" i="17"/>
  <c r="AQ128" i="17"/>
  <c r="AR128" i="17"/>
  <c r="AS128" i="17"/>
  <c r="AB132" i="17"/>
  <c r="AC132" i="17"/>
  <c r="AD132" i="17"/>
  <c r="AE132" i="17"/>
  <c r="AF132" i="17"/>
  <c r="AG132" i="17"/>
  <c r="AH132" i="17"/>
  <c r="AI132" i="17"/>
  <c r="AJ132" i="17"/>
  <c r="AK132" i="17"/>
  <c r="AL132" i="17"/>
  <c r="AM132" i="17"/>
  <c r="AN132" i="17"/>
  <c r="AO132" i="17"/>
  <c r="AP132" i="17"/>
  <c r="AQ132" i="17"/>
  <c r="AR132" i="17"/>
  <c r="AS132" i="17"/>
  <c r="AB133" i="17"/>
  <c r="AC133" i="17"/>
  <c r="AD133" i="17"/>
  <c r="AE133" i="17"/>
  <c r="AF133" i="17"/>
  <c r="AG133" i="17"/>
  <c r="AH133" i="17"/>
  <c r="AI133" i="17"/>
  <c r="AJ133" i="17"/>
  <c r="AK133" i="17"/>
  <c r="AL133" i="17"/>
  <c r="AM133" i="17"/>
  <c r="AN133" i="17"/>
  <c r="AO133" i="17"/>
  <c r="AP133" i="17"/>
  <c r="AQ133" i="17"/>
  <c r="AR133" i="17"/>
  <c r="AS133" i="17"/>
  <c r="AB134" i="17"/>
  <c r="AC134" i="17"/>
  <c r="AD134" i="17"/>
  <c r="AE134" i="17"/>
  <c r="AF134" i="17"/>
  <c r="AG134" i="17"/>
  <c r="AH134" i="17"/>
  <c r="AI134" i="17"/>
  <c r="AJ134" i="17"/>
  <c r="AK134" i="17"/>
  <c r="AL134" i="17"/>
  <c r="AM134" i="17"/>
  <c r="AN134" i="17"/>
  <c r="AO134" i="17"/>
  <c r="AP134" i="17"/>
  <c r="AQ134" i="17"/>
  <c r="AR134" i="17"/>
  <c r="AS134" i="17"/>
  <c r="AB144" i="17"/>
  <c r="AC144" i="17"/>
  <c r="AD144" i="17"/>
  <c r="AE144" i="17"/>
  <c r="AF144" i="17"/>
  <c r="AG144" i="17"/>
  <c r="AH144" i="17"/>
  <c r="AI144" i="17"/>
  <c r="AJ144" i="17"/>
  <c r="AK144" i="17"/>
  <c r="AL144" i="17"/>
  <c r="AM144" i="17"/>
  <c r="AN144" i="17"/>
  <c r="AO144" i="17"/>
  <c r="AP144" i="17"/>
  <c r="AQ144" i="17"/>
  <c r="AR144" i="17"/>
  <c r="AS144" i="17"/>
  <c r="AB145" i="17"/>
  <c r="AC145" i="17"/>
  <c r="AD145" i="17"/>
  <c r="AE145" i="17"/>
  <c r="AF145" i="17"/>
  <c r="AG145" i="17"/>
  <c r="AH145" i="17"/>
  <c r="AI145" i="17"/>
  <c r="AJ145" i="17"/>
  <c r="AK145" i="17"/>
  <c r="AL145" i="17"/>
  <c r="AM145" i="17"/>
  <c r="AN145" i="17"/>
  <c r="AO145" i="17"/>
  <c r="AP145" i="17"/>
  <c r="AQ145" i="17"/>
  <c r="AR145" i="17"/>
  <c r="AS145" i="17"/>
  <c r="AB155" i="17"/>
  <c r="AC155" i="17"/>
  <c r="AD155" i="17"/>
  <c r="AE155" i="17"/>
  <c r="AF155" i="17"/>
  <c r="AG155" i="17"/>
  <c r="AH155" i="17"/>
  <c r="AI155" i="17"/>
  <c r="AJ155" i="17"/>
  <c r="AK155" i="17"/>
  <c r="AL155" i="17"/>
  <c r="AM155" i="17"/>
  <c r="AN155" i="17"/>
  <c r="AO155" i="17"/>
  <c r="AP155" i="17"/>
  <c r="AQ155" i="17"/>
  <c r="AR155" i="17"/>
  <c r="AS155" i="17"/>
  <c r="AB156" i="17"/>
  <c r="AC156" i="17"/>
  <c r="AD156" i="17"/>
  <c r="AE156" i="17"/>
  <c r="AF156" i="17"/>
  <c r="AG156" i="17"/>
  <c r="AH156" i="17"/>
  <c r="AI156" i="17"/>
  <c r="AJ156" i="17"/>
  <c r="AK156" i="17"/>
  <c r="AL156" i="17"/>
  <c r="AM156" i="17"/>
  <c r="AN156" i="17"/>
  <c r="AO156" i="17"/>
  <c r="AP156" i="17"/>
  <c r="AQ156" i="17"/>
  <c r="AR156" i="17"/>
  <c r="AS156" i="17"/>
  <c r="AB166" i="17"/>
  <c r="AC166" i="17"/>
  <c r="AD166" i="17"/>
  <c r="AE166" i="17"/>
  <c r="AF166" i="17"/>
  <c r="AG166" i="17"/>
  <c r="AH166" i="17"/>
  <c r="AI166" i="17"/>
  <c r="AJ166" i="17"/>
  <c r="AK166" i="17"/>
  <c r="AL166" i="17"/>
  <c r="AM166" i="17"/>
  <c r="AN166" i="17"/>
  <c r="AO166" i="17"/>
  <c r="AP166" i="17"/>
  <c r="AQ166" i="17"/>
  <c r="AR166" i="17"/>
  <c r="AS166" i="17"/>
  <c r="AB167" i="17"/>
  <c r="AC167" i="17"/>
  <c r="AD167" i="17"/>
  <c r="AE167" i="17"/>
  <c r="AF167" i="17"/>
  <c r="AG167" i="17"/>
  <c r="AH167" i="17"/>
  <c r="AI167" i="17"/>
  <c r="AJ167" i="17"/>
  <c r="AK167" i="17"/>
  <c r="AL167" i="17"/>
  <c r="AM167" i="17"/>
  <c r="AN167" i="17"/>
  <c r="AO167" i="17"/>
  <c r="AP167" i="17"/>
  <c r="AQ167" i="17"/>
  <c r="AR167" i="17"/>
  <c r="AS167" i="17"/>
  <c r="AB168" i="17"/>
  <c r="AC168" i="17"/>
  <c r="AD168" i="17"/>
  <c r="AE168" i="17"/>
  <c r="AF168" i="17"/>
  <c r="AG168" i="17"/>
  <c r="AH168" i="17"/>
  <c r="AI168" i="17"/>
  <c r="AJ168" i="17"/>
  <c r="AK168" i="17"/>
  <c r="AL168" i="17"/>
  <c r="AM168" i="17"/>
  <c r="AN168" i="17"/>
  <c r="AO168" i="17"/>
  <c r="AP168" i="17"/>
  <c r="AQ168" i="17"/>
  <c r="AR168" i="17"/>
  <c r="AS168" i="17"/>
  <c r="AB169" i="17"/>
  <c r="AC169" i="17"/>
  <c r="AD169" i="17"/>
  <c r="AE169" i="17"/>
  <c r="AF169" i="17"/>
  <c r="AG169" i="17"/>
  <c r="AH169" i="17"/>
  <c r="AI169" i="17"/>
  <c r="AJ169" i="17"/>
  <c r="AK169" i="17"/>
  <c r="AL169" i="17"/>
  <c r="AM169" i="17"/>
  <c r="AN169" i="17"/>
  <c r="AO169" i="17"/>
  <c r="AP169" i="17"/>
  <c r="AQ169" i="17"/>
  <c r="AR169" i="17"/>
  <c r="AS169" i="17"/>
  <c r="AB170" i="17"/>
  <c r="AC170" i="17"/>
  <c r="AD170" i="17"/>
  <c r="AE170" i="17"/>
  <c r="AF170" i="17"/>
  <c r="AG170" i="17"/>
  <c r="AH170" i="17"/>
  <c r="AI170" i="17"/>
  <c r="AJ170" i="17"/>
  <c r="AK170" i="17"/>
  <c r="AL170" i="17"/>
  <c r="AM170" i="17"/>
  <c r="AN170" i="17"/>
  <c r="AO170" i="17"/>
  <c r="AP170" i="17"/>
  <c r="AQ170" i="17"/>
  <c r="AR170" i="17"/>
  <c r="AS170" i="17"/>
  <c r="AB178" i="17"/>
  <c r="AC178" i="17"/>
  <c r="AD178" i="17"/>
  <c r="AE178" i="17"/>
  <c r="AF178" i="17"/>
  <c r="AG178" i="17"/>
  <c r="AH178" i="17"/>
  <c r="AI178" i="17"/>
  <c r="AJ178" i="17"/>
  <c r="AK178" i="17"/>
  <c r="AL178" i="17"/>
  <c r="AM178" i="17"/>
  <c r="AN178" i="17"/>
  <c r="AO178" i="17"/>
  <c r="AP178" i="17"/>
  <c r="AQ178" i="17"/>
  <c r="AR178" i="17"/>
  <c r="AS178" i="17"/>
  <c r="AB179" i="17"/>
  <c r="AC179" i="17"/>
  <c r="AD179" i="17"/>
  <c r="AE179" i="17"/>
  <c r="AF179" i="17"/>
  <c r="AG179" i="17"/>
  <c r="AH179" i="17"/>
  <c r="AI179" i="17"/>
  <c r="AJ179" i="17"/>
  <c r="AK179" i="17"/>
  <c r="AL179" i="17"/>
  <c r="AM179" i="17"/>
  <c r="AN179" i="17"/>
  <c r="AO179" i="17"/>
  <c r="AP179" i="17"/>
  <c r="AQ179" i="17"/>
  <c r="AR179" i="17"/>
  <c r="AS179" i="17"/>
  <c r="AB180" i="17"/>
  <c r="AC180" i="17"/>
  <c r="AD180" i="17"/>
  <c r="AE180" i="17"/>
  <c r="AF180" i="17"/>
  <c r="AG180" i="17"/>
  <c r="AH180" i="17"/>
  <c r="AI180" i="17"/>
  <c r="AJ180" i="17"/>
  <c r="AK180" i="17"/>
  <c r="AL180" i="17"/>
  <c r="AM180" i="17"/>
  <c r="AN180" i="17"/>
  <c r="AO180" i="17"/>
  <c r="AP180" i="17"/>
  <c r="AQ180" i="17"/>
  <c r="AR180" i="17"/>
  <c r="AS180" i="17"/>
  <c r="V163" i="17" l="1"/>
  <c r="U163" i="17"/>
  <c r="T163" i="17"/>
  <c r="S163" i="17"/>
  <c r="R163" i="17"/>
  <c r="Q163" i="17"/>
  <c r="P163" i="17"/>
  <c r="O163" i="17"/>
  <c r="N163" i="17"/>
  <c r="M163" i="17"/>
  <c r="L163" i="17"/>
  <c r="K163" i="17"/>
  <c r="J163" i="17"/>
  <c r="I163" i="17"/>
  <c r="H163" i="17"/>
  <c r="G163" i="17"/>
  <c r="F163" i="17"/>
  <c r="E163" i="17"/>
  <c r="V162" i="17"/>
  <c r="U162" i="17"/>
  <c r="T162" i="17"/>
  <c r="S162" i="17"/>
  <c r="R162" i="17"/>
  <c r="Q162" i="17"/>
  <c r="P162" i="17"/>
  <c r="O162" i="17"/>
  <c r="N162" i="17"/>
  <c r="M162" i="17"/>
  <c r="L162" i="17"/>
  <c r="K162" i="17"/>
  <c r="J162" i="17"/>
  <c r="I162" i="17"/>
  <c r="H162" i="17"/>
  <c r="G162" i="17"/>
  <c r="F162" i="17"/>
  <c r="E162" i="17"/>
  <c r="V161" i="17"/>
  <c r="U161" i="17"/>
  <c r="T161" i="17"/>
  <c r="S161" i="17"/>
  <c r="R161" i="17"/>
  <c r="Q161" i="17"/>
  <c r="P161" i="17"/>
  <c r="O161" i="17"/>
  <c r="N161" i="17"/>
  <c r="M161" i="17"/>
  <c r="L161" i="17"/>
  <c r="K161" i="17"/>
  <c r="J161" i="17"/>
  <c r="I161" i="17"/>
  <c r="H161" i="17"/>
  <c r="G161" i="17"/>
  <c r="F161" i="17"/>
  <c r="E161" i="17"/>
  <c r="V160" i="17"/>
  <c r="U160" i="17"/>
  <c r="T160" i="17"/>
  <c r="S160" i="17"/>
  <c r="R160" i="17"/>
  <c r="Q160" i="17"/>
  <c r="P160" i="17"/>
  <c r="O160" i="17"/>
  <c r="N160" i="17"/>
  <c r="M160" i="17"/>
  <c r="L160" i="17"/>
  <c r="K160" i="17"/>
  <c r="J160" i="17"/>
  <c r="I160" i="17"/>
  <c r="H160" i="17"/>
  <c r="G160" i="17"/>
  <c r="F160" i="17"/>
  <c r="E160" i="17"/>
  <c r="V159" i="17"/>
  <c r="U159" i="17"/>
  <c r="T159" i="17"/>
  <c r="S159" i="17"/>
  <c r="R159" i="17"/>
  <c r="Q159" i="17"/>
  <c r="P159" i="17"/>
  <c r="O159" i="17"/>
  <c r="N159" i="17"/>
  <c r="M159" i="17"/>
  <c r="L159" i="17"/>
  <c r="K159" i="17"/>
  <c r="J159" i="17"/>
  <c r="I159" i="17"/>
  <c r="H159" i="17"/>
  <c r="G159" i="17"/>
  <c r="F159" i="17"/>
  <c r="E159" i="17"/>
  <c r="V158" i="17"/>
  <c r="U158" i="17"/>
  <c r="T158" i="17"/>
  <c r="S158" i="17"/>
  <c r="R158" i="17"/>
  <c r="Q158" i="17"/>
  <c r="P158" i="17"/>
  <c r="O158" i="17"/>
  <c r="N158" i="17"/>
  <c r="M158" i="17"/>
  <c r="L158" i="17"/>
  <c r="K158" i="17"/>
  <c r="J158" i="17"/>
  <c r="I158" i="17"/>
  <c r="H158" i="17"/>
  <c r="G158" i="17"/>
  <c r="F158" i="17"/>
  <c r="E158" i="17"/>
  <c r="V157" i="17"/>
  <c r="U157" i="17"/>
  <c r="T157" i="17"/>
  <c r="S157" i="17"/>
  <c r="R157" i="17"/>
  <c r="Q157" i="17"/>
  <c r="P157" i="17"/>
  <c r="O157" i="17"/>
  <c r="N157" i="17"/>
  <c r="M157" i="17"/>
  <c r="L157" i="17"/>
  <c r="K157" i="17"/>
  <c r="J157" i="17"/>
  <c r="I157" i="17"/>
  <c r="H157" i="17"/>
  <c r="G157" i="17"/>
  <c r="F157" i="17"/>
  <c r="E157" i="17"/>
  <c r="V156" i="17"/>
  <c r="U156" i="17"/>
  <c r="T156" i="17"/>
  <c r="S156" i="17"/>
  <c r="R156" i="17"/>
  <c r="Q156" i="17"/>
  <c r="P156" i="17"/>
  <c r="O156" i="17"/>
  <c r="N156" i="17"/>
  <c r="M156" i="17"/>
  <c r="L156" i="17"/>
  <c r="K156" i="17"/>
  <c r="J156" i="17"/>
  <c r="I156" i="17"/>
  <c r="H156" i="17"/>
  <c r="G156" i="17"/>
  <c r="F156" i="17"/>
  <c r="E156" i="17"/>
  <c r="V155" i="17"/>
  <c r="U155" i="17"/>
  <c r="T155" i="17"/>
  <c r="S155" i="17"/>
  <c r="R155" i="17"/>
  <c r="Q155" i="17"/>
  <c r="P155" i="17"/>
  <c r="O155" i="17"/>
  <c r="N155" i="17"/>
  <c r="M155" i="17"/>
  <c r="L155" i="17"/>
  <c r="K155" i="17"/>
  <c r="J155" i="17"/>
  <c r="I155" i="17"/>
  <c r="H155" i="17"/>
  <c r="G155" i="17"/>
  <c r="F155" i="17"/>
  <c r="E155" i="17"/>
  <c r="AV153" i="17" a="1"/>
  <c r="AV153" i="17" s="1"/>
  <c r="AU153" i="17" a="1"/>
  <c r="AU153" i="17" s="1"/>
  <c r="AT153" i="17" a="1"/>
  <c r="AT153" i="17" s="1"/>
  <c r="V152" i="17"/>
  <c r="U152" i="17"/>
  <c r="T152" i="17"/>
  <c r="S152" i="17"/>
  <c r="R152" i="17"/>
  <c r="Q152" i="17"/>
  <c r="P152" i="17"/>
  <c r="O152" i="17"/>
  <c r="N152" i="17"/>
  <c r="M152" i="17"/>
  <c r="L152" i="17"/>
  <c r="K152" i="17"/>
  <c r="J152" i="17"/>
  <c r="I152" i="17"/>
  <c r="H152" i="17"/>
  <c r="G152" i="17"/>
  <c r="F152" i="17"/>
  <c r="E152" i="17"/>
  <c r="V151" i="17"/>
  <c r="U151" i="17"/>
  <c r="T151" i="17"/>
  <c r="S151" i="17"/>
  <c r="R151" i="17"/>
  <c r="Q151" i="17"/>
  <c r="P151" i="17"/>
  <c r="O151" i="17"/>
  <c r="N151" i="17"/>
  <c r="M151" i="17"/>
  <c r="L151" i="17"/>
  <c r="K151" i="17"/>
  <c r="J151" i="17"/>
  <c r="I151" i="17"/>
  <c r="H151" i="17"/>
  <c r="G151" i="17"/>
  <c r="F151" i="17"/>
  <c r="E151" i="17"/>
  <c r="V150" i="17"/>
  <c r="U150" i="17"/>
  <c r="T150" i="17"/>
  <c r="S150" i="17"/>
  <c r="R150" i="17"/>
  <c r="Q150" i="17"/>
  <c r="P150" i="17"/>
  <c r="O150" i="17"/>
  <c r="N150" i="17"/>
  <c r="M150" i="17"/>
  <c r="L150" i="17"/>
  <c r="K150" i="17"/>
  <c r="J150" i="17"/>
  <c r="I150" i="17"/>
  <c r="H150" i="17"/>
  <c r="G150" i="17"/>
  <c r="F150" i="17"/>
  <c r="E150" i="17"/>
  <c r="V149" i="17"/>
  <c r="U149" i="17"/>
  <c r="T149" i="17"/>
  <c r="S149" i="17"/>
  <c r="R149" i="17"/>
  <c r="Q149" i="17"/>
  <c r="P149" i="17"/>
  <c r="O149" i="17"/>
  <c r="N149" i="17"/>
  <c r="M149" i="17"/>
  <c r="L149" i="17"/>
  <c r="K149" i="17"/>
  <c r="J149" i="17"/>
  <c r="I149" i="17"/>
  <c r="H149" i="17"/>
  <c r="G149" i="17"/>
  <c r="F149" i="17"/>
  <c r="E149" i="17"/>
  <c r="V148" i="17"/>
  <c r="U148" i="17"/>
  <c r="T148" i="17"/>
  <c r="S148" i="17"/>
  <c r="R148" i="17"/>
  <c r="Q148" i="17"/>
  <c r="P148" i="17"/>
  <c r="O148" i="17"/>
  <c r="N148" i="17"/>
  <c r="M148" i="17"/>
  <c r="L148" i="17"/>
  <c r="K148" i="17"/>
  <c r="J148" i="17"/>
  <c r="I148" i="17"/>
  <c r="H148" i="17"/>
  <c r="G148" i="17"/>
  <c r="F148" i="17"/>
  <c r="E148" i="17"/>
  <c r="V147" i="17"/>
  <c r="U147" i="17"/>
  <c r="T147" i="17"/>
  <c r="S147" i="17"/>
  <c r="R147" i="17"/>
  <c r="Q147" i="17"/>
  <c r="P147" i="17"/>
  <c r="O147" i="17"/>
  <c r="N147" i="17"/>
  <c r="M147" i="17"/>
  <c r="L147" i="17"/>
  <c r="K147" i="17"/>
  <c r="J147" i="17"/>
  <c r="I147" i="17"/>
  <c r="H147" i="17"/>
  <c r="G147" i="17"/>
  <c r="F147" i="17"/>
  <c r="E147" i="17"/>
  <c r="V146" i="17"/>
  <c r="U146" i="17"/>
  <c r="T146" i="17"/>
  <c r="S146" i="17"/>
  <c r="R146" i="17"/>
  <c r="Q146" i="17"/>
  <c r="P146" i="17"/>
  <c r="O146" i="17"/>
  <c r="N146" i="17"/>
  <c r="M146" i="17"/>
  <c r="L146" i="17"/>
  <c r="K146" i="17"/>
  <c r="J146" i="17"/>
  <c r="I146" i="17"/>
  <c r="H146" i="17"/>
  <c r="G146" i="17"/>
  <c r="F146" i="17"/>
  <c r="E146" i="17"/>
  <c r="V145" i="17"/>
  <c r="U145" i="17"/>
  <c r="T145" i="17"/>
  <c r="S145" i="17"/>
  <c r="R145" i="17"/>
  <c r="Q145" i="17"/>
  <c r="P145" i="17"/>
  <c r="O145" i="17"/>
  <c r="N145" i="17"/>
  <c r="M145" i="17"/>
  <c r="L145" i="17"/>
  <c r="K145" i="17"/>
  <c r="J145" i="17"/>
  <c r="I145" i="17"/>
  <c r="H145" i="17"/>
  <c r="G145" i="17"/>
  <c r="F145" i="17"/>
  <c r="E145" i="17"/>
  <c r="V144" i="17"/>
  <c r="U144" i="17"/>
  <c r="T144" i="17"/>
  <c r="S144" i="17"/>
  <c r="R144" i="17"/>
  <c r="Q144" i="17"/>
  <c r="P144" i="17"/>
  <c r="O144" i="17"/>
  <c r="N144" i="17"/>
  <c r="M144" i="17"/>
  <c r="L144" i="17"/>
  <c r="K144" i="17"/>
  <c r="J144" i="17"/>
  <c r="I144" i="17"/>
  <c r="H144" i="17"/>
  <c r="G144" i="17"/>
  <c r="F144" i="17"/>
  <c r="E144" i="17"/>
  <c r="AV142" i="17" a="1"/>
  <c r="AV142" i="17" s="1"/>
  <c r="AU142" i="17" a="1"/>
  <c r="AU142" i="17" s="1"/>
  <c r="AT142" i="17" a="1"/>
  <c r="AT142" i="17" s="1"/>
  <c r="V141" i="17"/>
  <c r="U141" i="17"/>
  <c r="T141" i="17"/>
  <c r="S141" i="17"/>
  <c r="R141" i="17"/>
  <c r="Q141" i="17"/>
  <c r="P141" i="17"/>
  <c r="O141" i="17"/>
  <c r="N141" i="17"/>
  <c r="M141" i="17"/>
  <c r="L141" i="17"/>
  <c r="K141" i="17"/>
  <c r="J141" i="17"/>
  <c r="I141" i="17"/>
  <c r="H141" i="17"/>
  <c r="G141" i="17"/>
  <c r="F141" i="17"/>
  <c r="E141" i="17"/>
  <c r="V140" i="17"/>
  <c r="U140" i="17"/>
  <c r="T140" i="17"/>
  <c r="S140" i="17"/>
  <c r="R140" i="17"/>
  <c r="Q140" i="17"/>
  <c r="P140" i="17"/>
  <c r="O140" i="17"/>
  <c r="N140" i="17"/>
  <c r="M140" i="17"/>
  <c r="L140" i="17"/>
  <c r="K140" i="17"/>
  <c r="J140" i="17"/>
  <c r="I140" i="17"/>
  <c r="H140" i="17"/>
  <c r="G140" i="17"/>
  <c r="F140" i="17"/>
  <c r="E140" i="17"/>
  <c r="V139" i="17"/>
  <c r="U139" i="17"/>
  <c r="T139" i="17"/>
  <c r="S139" i="17"/>
  <c r="R139" i="17"/>
  <c r="Q139" i="17"/>
  <c r="P139" i="17"/>
  <c r="O139" i="17"/>
  <c r="N139" i="17"/>
  <c r="M139" i="17"/>
  <c r="L139" i="17"/>
  <c r="K139" i="17"/>
  <c r="J139" i="17"/>
  <c r="I139" i="17"/>
  <c r="H139" i="17"/>
  <c r="G139" i="17"/>
  <c r="F139" i="17"/>
  <c r="E139" i="17"/>
  <c r="V138" i="17"/>
  <c r="U138" i="17"/>
  <c r="T138" i="17"/>
  <c r="S138" i="17"/>
  <c r="R138" i="17"/>
  <c r="Q138" i="17"/>
  <c r="P138" i="17"/>
  <c r="O138" i="17"/>
  <c r="N138" i="17"/>
  <c r="M138" i="17"/>
  <c r="L138" i="17"/>
  <c r="K138" i="17"/>
  <c r="J138" i="17"/>
  <c r="I138" i="17"/>
  <c r="H138" i="17"/>
  <c r="G138" i="17"/>
  <c r="F138" i="17"/>
  <c r="E138" i="17"/>
  <c r="V137" i="17"/>
  <c r="U137" i="17"/>
  <c r="T137" i="17"/>
  <c r="S137" i="17"/>
  <c r="R137" i="17"/>
  <c r="Q137" i="17"/>
  <c r="P137" i="17"/>
  <c r="O137" i="17"/>
  <c r="N137" i="17"/>
  <c r="M137" i="17"/>
  <c r="L137" i="17"/>
  <c r="K137" i="17"/>
  <c r="J137" i="17"/>
  <c r="I137" i="17"/>
  <c r="H137" i="17"/>
  <c r="G137" i="17"/>
  <c r="F137" i="17"/>
  <c r="E137" i="17"/>
  <c r="V136" i="17"/>
  <c r="U136" i="17"/>
  <c r="T136" i="17"/>
  <c r="S136" i="17"/>
  <c r="R136" i="17"/>
  <c r="Q136" i="17"/>
  <c r="P136" i="17"/>
  <c r="O136" i="17"/>
  <c r="N136" i="17"/>
  <c r="M136" i="17"/>
  <c r="L136" i="17"/>
  <c r="K136" i="17"/>
  <c r="J136" i="17"/>
  <c r="I136" i="17"/>
  <c r="H136" i="17"/>
  <c r="G136" i="17"/>
  <c r="F136" i="17"/>
  <c r="E136" i="17"/>
  <c r="V135" i="17"/>
  <c r="U135" i="17"/>
  <c r="T135" i="17"/>
  <c r="S135" i="17"/>
  <c r="R135" i="17"/>
  <c r="Q135" i="17"/>
  <c r="P135" i="17"/>
  <c r="O135" i="17"/>
  <c r="N135" i="17"/>
  <c r="M135" i="17"/>
  <c r="L135" i="17"/>
  <c r="K135" i="17"/>
  <c r="J135" i="17"/>
  <c r="I135" i="17"/>
  <c r="H135" i="17"/>
  <c r="G135" i="17"/>
  <c r="F135" i="17"/>
  <c r="E135" i="17"/>
  <c r="V134" i="17"/>
  <c r="U134" i="17"/>
  <c r="T134" i="17"/>
  <c r="S134" i="17"/>
  <c r="R134" i="17"/>
  <c r="Q134" i="17"/>
  <c r="P134" i="17"/>
  <c r="O134" i="17"/>
  <c r="N134" i="17"/>
  <c r="M134" i="17"/>
  <c r="L134" i="17"/>
  <c r="K134" i="17"/>
  <c r="J134" i="17"/>
  <c r="I134" i="17"/>
  <c r="H134" i="17"/>
  <c r="G134" i="17"/>
  <c r="F134" i="17"/>
  <c r="E134" i="17"/>
  <c r="V133" i="17"/>
  <c r="U133" i="17"/>
  <c r="T133" i="17"/>
  <c r="S133" i="17"/>
  <c r="R133" i="17"/>
  <c r="Q133" i="17"/>
  <c r="P133" i="17"/>
  <c r="O133" i="17"/>
  <c r="N133" i="17"/>
  <c r="M133" i="17"/>
  <c r="L133" i="17"/>
  <c r="K133" i="17"/>
  <c r="J133" i="17"/>
  <c r="I133" i="17"/>
  <c r="H133" i="17"/>
  <c r="G133" i="17"/>
  <c r="F133" i="17"/>
  <c r="E133" i="17"/>
  <c r="V132" i="17"/>
  <c r="U132" i="17"/>
  <c r="T132" i="17"/>
  <c r="S132" i="17"/>
  <c r="R132" i="17"/>
  <c r="Q132" i="17"/>
  <c r="P132" i="17"/>
  <c r="O132" i="17"/>
  <c r="N132" i="17"/>
  <c r="M132" i="17"/>
  <c r="L132" i="17"/>
  <c r="K132" i="17"/>
  <c r="J132" i="17"/>
  <c r="I132" i="17"/>
  <c r="H132" i="17"/>
  <c r="G132" i="17"/>
  <c r="F132" i="17"/>
  <c r="E132" i="17"/>
  <c r="V129" i="17"/>
  <c r="U129" i="17"/>
  <c r="T129" i="17"/>
  <c r="S129" i="17"/>
  <c r="R129" i="17"/>
  <c r="Q129" i="17"/>
  <c r="P129" i="17"/>
  <c r="O129" i="17"/>
  <c r="N129" i="17"/>
  <c r="M129" i="17"/>
  <c r="L129" i="17"/>
  <c r="K129" i="17"/>
  <c r="J129" i="17"/>
  <c r="I129" i="17"/>
  <c r="H129" i="17"/>
  <c r="G129" i="17"/>
  <c r="F129" i="17"/>
  <c r="E129" i="17"/>
  <c r="V128" i="17"/>
  <c r="U128" i="17"/>
  <c r="T128" i="17"/>
  <c r="S128" i="17"/>
  <c r="R128" i="17"/>
  <c r="Q128" i="17"/>
  <c r="P128" i="17"/>
  <c r="O128" i="17"/>
  <c r="N128" i="17"/>
  <c r="M128" i="17"/>
  <c r="L128" i="17"/>
  <c r="K128" i="17"/>
  <c r="J128" i="17"/>
  <c r="I128" i="17"/>
  <c r="H128" i="17"/>
  <c r="G128" i="17"/>
  <c r="F128" i="17"/>
  <c r="E128" i="17"/>
  <c r="V127" i="17"/>
  <c r="U127" i="17"/>
  <c r="T127" i="17"/>
  <c r="S127" i="17"/>
  <c r="R127" i="17"/>
  <c r="Q127" i="17"/>
  <c r="P127" i="17"/>
  <c r="O127" i="17"/>
  <c r="N127" i="17"/>
  <c r="M127" i="17"/>
  <c r="L127" i="17"/>
  <c r="K127" i="17"/>
  <c r="J127" i="17"/>
  <c r="I127" i="17"/>
  <c r="H127" i="17"/>
  <c r="G127" i="17"/>
  <c r="F127" i="17"/>
  <c r="E127" i="17"/>
  <c r="V126" i="17"/>
  <c r="U126" i="17"/>
  <c r="T126" i="17"/>
  <c r="S126" i="17"/>
  <c r="R126" i="17"/>
  <c r="Q126" i="17"/>
  <c r="P126" i="17"/>
  <c r="O126" i="17"/>
  <c r="N126" i="17"/>
  <c r="M126" i="17"/>
  <c r="L126" i="17"/>
  <c r="K126" i="17"/>
  <c r="J126" i="17"/>
  <c r="I126" i="17"/>
  <c r="H126" i="17"/>
  <c r="G126" i="17"/>
  <c r="F126" i="17"/>
  <c r="E126" i="17"/>
  <c r="V125" i="17"/>
  <c r="U125" i="17"/>
  <c r="T125" i="17"/>
  <c r="S125" i="17"/>
  <c r="R125" i="17"/>
  <c r="Q125" i="17"/>
  <c r="P125" i="17"/>
  <c r="O125" i="17"/>
  <c r="N125" i="17"/>
  <c r="M125" i="17"/>
  <c r="L125" i="17"/>
  <c r="K125" i="17"/>
  <c r="J125" i="17"/>
  <c r="I125" i="17"/>
  <c r="H125" i="17"/>
  <c r="G125" i="17"/>
  <c r="F125" i="17"/>
  <c r="E125" i="17"/>
  <c r="V124" i="17"/>
  <c r="U124" i="17"/>
  <c r="T124" i="17"/>
  <c r="S124" i="17"/>
  <c r="R124" i="17"/>
  <c r="Q124" i="17"/>
  <c r="P124" i="17"/>
  <c r="O124" i="17"/>
  <c r="N124" i="17"/>
  <c r="M124" i="17"/>
  <c r="L124" i="17"/>
  <c r="K124" i="17"/>
  <c r="J124" i="17"/>
  <c r="I124" i="17"/>
  <c r="H124" i="17"/>
  <c r="G124" i="17"/>
  <c r="F124" i="17"/>
  <c r="E124" i="17"/>
  <c r="AV122" i="17" a="1"/>
  <c r="AV122" i="17" s="1"/>
  <c r="AU122" i="17" a="1"/>
  <c r="AU122" i="17" s="1"/>
  <c r="AT122" i="17" a="1"/>
  <c r="AT122" i="17" s="1"/>
  <c r="AV114" i="17" a="1"/>
  <c r="AV114" i="17" s="1"/>
  <c r="AU114" i="17" a="1"/>
  <c r="AU114" i="17" s="1"/>
  <c r="AT114" i="17" a="1"/>
  <c r="AT114" i="17" s="1"/>
  <c r="V113" i="17"/>
  <c r="U113" i="17"/>
  <c r="T113" i="17"/>
  <c r="S113" i="17"/>
  <c r="R113" i="17"/>
  <c r="Q113" i="17"/>
  <c r="P113" i="17"/>
  <c r="O113" i="17"/>
  <c r="N113" i="17"/>
  <c r="M113" i="17"/>
  <c r="L113" i="17"/>
  <c r="K113" i="17"/>
  <c r="J113" i="17"/>
  <c r="I113" i="17"/>
  <c r="H113" i="17"/>
  <c r="G113" i="17"/>
  <c r="F113" i="17"/>
  <c r="E113" i="17"/>
  <c r="V112" i="17"/>
  <c r="U112" i="17"/>
  <c r="T112" i="17"/>
  <c r="S112" i="17"/>
  <c r="R112" i="17"/>
  <c r="Q112" i="17"/>
  <c r="P112" i="17"/>
  <c r="O112" i="17"/>
  <c r="N112" i="17"/>
  <c r="M112" i="17"/>
  <c r="L112" i="17"/>
  <c r="K112" i="17"/>
  <c r="J112" i="17"/>
  <c r="I112" i="17"/>
  <c r="H112" i="17"/>
  <c r="G112" i="17"/>
  <c r="F112" i="17"/>
  <c r="E112" i="17"/>
  <c r="V111" i="17"/>
  <c r="U111" i="17"/>
  <c r="T111" i="17"/>
  <c r="S111" i="17"/>
  <c r="R111" i="17"/>
  <c r="Q111" i="17"/>
  <c r="P111" i="17"/>
  <c r="O111" i="17"/>
  <c r="N111" i="17"/>
  <c r="M111" i="17"/>
  <c r="L111" i="17"/>
  <c r="K111" i="17"/>
  <c r="J111" i="17"/>
  <c r="I111" i="17"/>
  <c r="H111" i="17"/>
  <c r="G111" i="17"/>
  <c r="F111" i="17"/>
  <c r="E111" i="17"/>
  <c r="V110" i="17"/>
  <c r="U110" i="17"/>
  <c r="T110" i="17"/>
  <c r="S110" i="17"/>
  <c r="R110" i="17"/>
  <c r="Q110" i="17"/>
  <c r="P110" i="17"/>
  <c r="O110" i="17"/>
  <c r="N110" i="17"/>
  <c r="M110" i="17"/>
  <c r="L110" i="17"/>
  <c r="K110" i="17"/>
  <c r="J110" i="17"/>
  <c r="I110" i="17"/>
  <c r="H110" i="17"/>
  <c r="G110" i="17"/>
  <c r="F110" i="17"/>
  <c r="E110" i="17"/>
  <c r="V109" i="17"/>
  <c r="U109" i="17"/>
  <c r="T109" i="17"/>
  <c r="S109" i="17"/>
  <c r="R109" i="17"/>
  <c r="Q109" i="17"/>
  <c r="P109" i="17"/>
  <c r="O109" i="17"/>
  <c r="N109" i="17"/>
  <c r="M109" i="17"/>
  <c r="L109" i="17"/>
  <c r="K109" i="17"/>
  <c r="J109" i="17"/>
  <c r="I109" i="17"/>
  <c r="H109" i="17"/>
  <c r="G109" i="17"/>
  <c r="F109" i="17"/>
  <c r="E109" i="17"/>
  <c r="V108" i="17"/>
  <c r="U108" i="17"/>
  <c r="T108" i="17"/>
  <c r="S108" i="17"/>
  <c r="R108" i="17"/>
  <c r="Q108" i="17"/>
  <c r="P108" i="17"/>
  <c r="O108" i="17"/>
  <c r="N108" i="17"/>
  <c r="M108" i="17"/>
  <c r="L108" i="17"/>
  <c r="K108" i="17"/>
  <c r="J108" i="17"/>
  <c r="I108" i="17"/>
  <c r="H108" i="17"/>
  <c r="G108" i="17"/>
  <c r="F108" i="17"/>
  <c r="E108" i="17"/>
  <c r="AV106" i="17" a="1"/>
  <c r="AV106" i="17" s="1"/>
  <c r="AU106" i="17" a="1"/>
  <c r="AU106" i="17" s="1"/>
  <c r="AT106" i="17" a="1"/>
  <c r="AT106" i="17" s="1"/>
  <c r="V105" i="17"/>
  <c r="U105" i="17"/>
  <c r="T105" i="17"/>
  <c r="S105" i="17"/>
  <c r="R105" i="17"/>
  <c r="Q105" i="17"/>
  <c r="P105" i="17"/>
  <c r="O105" i="17"/>
  <c r="N105" i="17"/>
  <c r="M105" i="17"/>
  <c r="L105" i="17"/>
  <c r="K105" i="17"/>
  <c r="J105" i="17"/>
  <c r="I105" i="17"/>
  <c r="H105" i="17"/>
  <c r="G105" i="17"/>
  <c r="F105" i="17"/>
  <c r="E105" i="17"/>
  <c r="V104" i="17"/>
  <c r="U104" i="17"/>
  <c r="T104" i="17"/>
  <c r="S104" i="17"/>
  <c r="R104" i="17"/>
  <c r="Q104" i="17"/>
  <c r="P104" i="17"/>
  <c r="O104" i="17"/>
  <c r="N104" i="17"/>
  <c r="M104" i="17"/>
  <c r="L104" i="17"/>
  <c r="K104" i="17"/>
  <c r="J104" i="17"/>
  <c r="I104" i="17"/>
  <c r="H104" i="17"/>
  <c r="G104" i="17"/>
  <c r="F104" i="17"/>
  <c r="E104" i="17"/>
  <c r="V103" i="17"/>
  <c r="U103" i="17"/>
  <c r="T103" i="17"/>
  <c r="S103" i="17"/>
  <c r="R103" i="17"/>
  <c r="Q103" i="17"/>
  <c r="P103" i="17"/>
  <c r="O103" i="17"/>
  <c r="N103" i="17"/>
  <c r="M103" i="17"/>
  <c r="L103" i="17"/>
  <c r="K103" i="17"/>
  <c r="J103" i="17"/>
  <c r="I103" i="17"/>
  <c r="H103" i="17"/>
  <c r="G103" i="17"/>
  <c r="F103" i="17"/>
  <c r="E103" i="17"/>
  <c r="V102" i="17"/>
  <c r="U102" i="17"/>
  <c r="T102" i="17"/>
  <c r="S102" i="17"/>
  <c r="R102" i="17"/>
  <c r="Q102" i="17"/>
  <c r="P102" i="17"/>
  <c r="O102" i="17"/>
  <c r="N102" i="17"/>
  <c r="M102" i="17"/>
  <c r="L102" i="17"/>
  <c r="K102" i="17"/>
  <c r="J102" i="17"/>
  <c r="I102" i="17"/>
  <c r="H102" i="17"/>
  <c r="G102" i="17"/>
  <c r="F102" i="17"/>
  <c r="E102" i="17"/>
  <c r="V101" i="17"/>
  <c r="U101" i="17"/>
  <c r="T101" i="17"/>
  <c r="S101" i="17"/>
  <c r="R101" i="17"/>
  <c r="Q101" i="17"/>
  <c r="P101" i="17"/>
  <c r="O101" i="17"/>
  <c r="N101" i="17"/>
  <c r="M101" i="17"/>
  <c r="L101" i="17"/>
  <c r="K101" i="17"/>
  <c r="J101" i="17"/>
  <c r="I101" i="17"/>
  <c r="H101" i="17"/>
  <c r="G101" i="17"/>
  <c r="F101" i="17"/>
  <c r="E101" i="17"/>
  <c r="V100" i="17"/>
  <c r="U100" i="17"/>
  <c r="T100" i="17"/>
  <c r="S100" i="17"/>
  <c r="R100" i="17"/>
  <c r="Q100" i="17"/>
  <c r="P100" i="17"/>
  <c r="O100" i="17"/>
  <c r="N100" i="17"/>
  <c r="M100" i="17"/>
  <c r="L100" i="17"/>
  <c r="K100" i="17"/>
  <c r="J100" i="17"/>
  <c r="I100" i="17"/>
  <c r="H100" i="17"/>
  <c r="G100" i="17"/>
  <c r="F100" i="17"/>
  <c r="E100" i="17"/>
  <c r="V99" i="17"/>
  <c r="U99" i="17"/>
  <c r="T99" i="17"/>
  <c r="S99" i="17"/>
  <c r="R99" i="17"/>
  <c r="Q99" i="17"/>
  <c r="P99" i="17"/>
  <c r="O99" i="17"/>
  <c r="N99" i="17"/>
  <c r="M99" i="17"/>
  <c r="L99" i="17"/>
  <c r="K99" i="17"/>
  <c r="J99" i="17"/>
  <c r="I99" i="17"/>
  <c r="H99" i="17"/>
  <c r="G99" i="17"/>
  <c r="F99" i="17"/>
  <c r="E99" i="17"/>
  <c r="V98" i="17"/>
  <c r="U98" i="17"/>
  <c r="T98" i="17"/>
  <c r="S98" i="17"/>
  <c r="R98" i="17"/>
  <c r="Q98" i="17"/>
  <c r="P98" i="17"/>
  <c r="O98" i="17"/>
  <c r="N98" i="17"/>
  <c r="M98" i="17"/>
  <c r="L98" i="17"/>
  <c r="K98" i="17"/>
  <c r="J98" i="17"/>
  <c r="I98" i="17"/>
  <c r="H98" i="17"/>
  <c r="G98" i="17"/>
  <c r="F98" i="17"/>
  <c r="E98" i="17"/>
  <c r="AV96" i="17" a="1"/>
  <c r="AV96" i="17" s="1"/>
  <c r="AU96" i="17" a="1"/>
  <c r="AU96" i="17" s="1"/>
  <c r="AT96" i="17" a="1"/>
  <c r="AT96" i="17" s="1"/>
  <c r="V95" i="17"/>
  <c r="U95" i="17"/>
  <c r="T95" i="17"/>
  <c r="S95" i="17"/>
  <c r="R95" i="17"/>
  <c r="Q95" i="17"/>
  <c r="P95" i="17"/>
  <c r="O95" i="17"/>
  <c r="N95" i="17"/>
  <c r="M95" i="17"/>
  <c r="L95" i="17"/>
  <c r="K95" i="17"/>
  <c r="J95" i="17"/>
  <c r="I95" i="17"/>
  <c r="H95" i="17"/>
  <c r="G95" i="17"/>
  <c r="F95" i="17"/>
  <c r="E95" i="17"/>
  <c r="V94" i="17"/>
  <c r="U94" i="17"/>
  <c r="T94" i="17"/>
  <c r="S94" i="17"/>
  <c r="R94" i="17"/>
  <c r="Q94" i="17"/>
  <c r="P94" i="17"/>
  <c r="O94" i="17"/>
  <c r="N94" i="17"/>
  <c r="M94" i="17"/>
  <c r="L94" i="17"/>
  <c r="K94" i="17"/>
  <c r="J94" i="17"/>
  <c r="I94" i="17"/>
  <c r="H94" i="17"/>
  <c r="G94" i="17"/>
  <c r="F94" i="17"/>
  <c r="E94" i="17"/>
  <c r="V93" i="17"/>
  <c r="U93" i="17"/>
  <c r="T93" i="17"/>
  <c r="S93" i="17"/>
  <c r="R93" i="17"/>
  <c r="Q93" i="17"/>
  <c r="P93" i="17"/>
  <c r="O93" i="17"/>
  <c r="N93" i="17"/>
  <c r="M93" i="17"/>
  <c r="L93" i="17"/>
  <c r="K93" i="17"/>
  <c r="J93" i="17"/>
  <c r="I93" i="17"/>
  <c r="H93" i="17"/>
  <c r="G93" i="17"/>
  <c r="F93" i="17"/>
  <c r="E93" i="17"/>
  <c r="V92" i="17"/>
  <c r="U92" i="17"/>
  <c r="T92" i="17"/>
  <c r="S92" i="17"/>
  <c r="R92" i="17"/>
  <c r="Q92" i="17"/>
  <c r="P92" i="17"/>
  <c r="O92" i="17"/>
  <c r="N92" i="17"/>
  <c r="M92" i="17"/>
  <c r="L92" i="17"/>
  <c r="K92" i="17"/>
  <c r="J92" i="17"/>
  <c r="I92" i="17"/>
  <c r="H92" i="17"/>
  <c r="G92" i="17"/>
  <c r="F92" i="17"/>
  <c r="E92" i="17"/>
  <c r="V91" i="17"/>
  <c r="U91" i="17"/>
  <c r="T91" i="17"/>
  <c r="S91" i="17"/>
  <c r="R91" i="17"/>
  <c r="Q91" i="17"/>
  <c r="P91" i="17"/>
  <c r="O91" i="17"/>
  <c r="N91" i="17"/>
  <c r="M91" i="17"/>
  <c r="L91" i="17"/>
  <c r="K91" i="17"/>
  <c r="J91" i="17"/>
  <c r="I91" i="17"/>
  <c r="H91" i="17"/>
  <c r="G91" i="17"/>
  <c r="F91" i="17"/>
  <c r="E91" i="17"/>
  <c r="V90" i="17"/>
  <c r="U90" i="17"/>
  <c r="T90" i="17"/>
  <c r="S90" i="17"/>
  <c r="R90" i="17"/>
  <c r="Q90" i="17"/>
  <c r="P90" i="17"/>
  <c r="O90" i="17"/>
  <c r="N90" i="17"/>
  <c r="M90" i="17"/>
  <c r="L90" i="17"/>
  <c r="K90" i="17"/>
  <c r="J90" i="17"/>
  <c r="I90" i="17"/>
  <c r="H90" i="17"/>
  <c r="G90" i="17"/>
  <c r="F90" i="17"/>
  <c r="E90" i="17"/>
  <c r="V89" i="17"/>
  <c r="U89" i="17"/>
  <c r="T89" i="17"/>
  <c r="S89" i="17"/>
  <c r="R89" i="17"/>
  <c r="Q89" i="17"/>
  <c r="P89" i="17"/>
  <c r="O89" i="17"/>
  <c r="N89" i="17"/>
  <c r="M89" i="17"/>
  <c r="L89" i="17"/>
  <c r="K89" i="17"/>
  <c r="J89" i="17"/>
  <c r="I89" i="17"/>
  <c r="H89" i="17"/>
  <c r="G89" i="17"/>
  <c r="F89" i="17"/>
  <c r="E89" i="17"/>
  <c r="V88" i="17"/>
  <c r="U88" i="17"/>
  <c r="T88" i="17"/>
  <c r="S88" i="17"/>
  <c r="R88" i="17"/>
  <c r="Q88" i="17"/>
  <c r="P88" i="17"/>
  <c r="O88" i="17"/>
  <c r="N88" i="17"/>
  <c r="M88" i="17"/>
  <c r="L88" i="17"/>
  <c r="K88" i="17"/>
  <c r="J88" i="17"/>
  <c r="I88" i="17"/>
  <c r="H88" i="17"/>
  <c r="G88" i="17"/>
  <c r="F88" i="17"/>
  <c r="E88" i="17"/>
  <c r="V87" i="17"/>
  <c r="U87" i="17"/>
  <c r="T87" i="17"/>
  <c r="S87" i="17"/>
  <c r="R87" i="17"/>
  <c r="Q87" i="17"/>
  <c r="P87" i="17"/>
  <c r="O87" i="17"/>
  <c r="N87" i="17"/>
  <c r="M87" i="17"/>
  <c r="L87" i="17"/>
  <c r="K87" i="17"/>
  <c r="J87" i="17"/>
  <c r="I87" i="17"/>
  <c r="H87" i="17"/>
  <c r="G87" i="17"/>
  <c r="F87" i="17"/>
  <c r="E87" i="17"/>
  <c r="V86" i="17"/>
  <c r="U86" i="17"/>
  <c r="T86" i="17"/>
  <c r="S86" i="17"/>
  <c r="R86" i="17"/>
  <c r="Q86" i="17"/>
  <c r="P86" i="17"/>
  <c r="O86" i="17"/>
  <c r="N86" i="17"/>
  <c r="M86" i="17"/>
  <c r="L86" i="17"/>
  <c r="K86" i="17"/>
  <c r="J86" i="17"/>
  <c r="I86" i="17"/>
  <c r="H86" i="17"/>
  <c r="G86" i="17"/>
  <c r="F86" i="17"/>
  <c r="E86" i="17"/>
  <c r="V85" i="17"/>
  <c r="U85" i="17"/>
  <c r="T85" i="17"/>
  <c r="S85" i="17"/>
  <c r="R85" i="17"/>
  <c r="Q85" i="17"/>
  <c r="P85" i="17"/>
  <c r="O85" i="17"/>
  <c r="N85" i="17"/>
  <c r="M85" i="17"/>
  <c r="L85" i="17"/>
  <c r="K85" i="17"/>
  <c r="J85" i="17"/>
  <c r="I85" i="17"/>
  <c r="H85" i="17"/>
  <c r="G85" i="17"/>
  <c r="F85" i="17"/>
  <c r="E85" i="17"/>
  <c r="V84" i="17"/>
  <c r="U84" i="17"/>
  <c r="T84" i="17"/>
  <c r="S84" i="17"/>
  <c r="R84" i="17"/>
  <c r="Q84" i="17"/>
  <c r="P84" i="17"/>
  <c r="O84" i="17"/>
  <c r="N84" i="17"/>
  <c r="M84" i="17"/>
  <c r="L84" i="17"/>
  <c r="K84" i="17"/>
  <c r="J84" i="17"/>
  <c r="I84" i="17"/>
  <c r="H84" i="17"/>
  <c r="G84" i="17"/>
  <c r="F84" i="17"/>
  <c r="E84" i="17"/>
  <c r="AV82" i="17" a="1"/>
  <c r="AV82" i="17" s="1"/>
  <c r="AU82" i="17" a="1"/>
  <c r="AU82" i="17" s="1"/>
  <c r="AT82" i="17" a="1"/>
  <c r="AT82" i="17" s="1"/>
  <c r="V81" i="17"/>
  <c r="U81" i="17"/>
  <c r="T81" i="17"/>
  <c r="S81" i="17"/>
  <c r="R81" i="17"/>
  <c r="Q81" i="17"/>
  <c r="P81" i="17"/>
  <c r="O81" i="17"/>
  <c r="N81" i="17"/>
  <c r="M81" i="17"/>
  <c r="L81" i="17"/>
  <c r="K81" i="17"/>
  <c r="J81" i="17"/>
  <c r="I81" i="17"/>
  <c r="H81" i="17"/>
  <c r="G81" i="17"/>
  <c r="F81" i="17"/>
  <c r="E81" i="17"/>
  <c r="V80" i="17"/>
  <c r="U80" i="17"/>
  <c r="T80" i="17"/>
  <c r="S80" i="17"/>
  <c r="R80" i="17"/>
  <c r="Q80" i="17"/>
  <c r="P80" i="17"/>
  <c r="O80" i="17"/>
  <c r="N80" i="17"/>
  <c r="M80" i="17"/>
  <c r="L80" i="17"/>
  <c r="K80" i="17"/>
  <c r="J80" i="17"/>
  <c r="I80" i="17"/>
  <c r="H80" i="17"/>
  <c r="G80" i="17"/>
  <c r="F80" i="17"/>
  <c r="E80" i="17"/>
  <c r="V79" i="17"/>
  <c r="U79" i="17"/>
  <c r="T79" i="17"/>
  <c r="S79" i="17"/>
  <c r="R79" i="17"/>
  <c r="Q79" i="17"/>
  <c r="P79" i="17"/>
  <c r="O79" i="17"/>
  <c r="N79" i="17"/>
  <c r="M79" i="17"/>
  <c r="L79" i="17"/>
  <c r="K79" i="17"/>
  <c r="J79" i="17"/>
  <c r="I79" i="17"/>
  <c r="H79" i="17"/>
  <c r="G79" i="17"/>
  <c r="F79" i="17"/>
  <c r="E79" i="17"/>
  <c r="V78" i="17"/>
  <c r="U78" i="17"/>
  <c r="T78" i="17"/>
  <c r="S78" i="17"/>
  <c r="R78" i="17"/>
  <c r="Q78" i="17"/>
  <c r="P78" i="17"/>
  <c r="O78" i="17"/>
  <c r="N78" i="17"/>
  <c r="M78" i="17"/>
  <c r="L78" i="17"/>
  <c r="K78" i="17"/>
  <c r="J78" i="17"/>
  <c r="I78" i="17"/>
  <c r="H78" i="17"/>
  <c r="G78" i="17"/>
  <c r="F78" i="17"/>
  <c r="E78" i="17"/>
  <c r="V77" i="17"/>
  <c r="U77" i="17"/>
  <c r="T77" i="17"/>
  <c r="S77" i="17"/>
  <c r="R77" i="17"/>
  <c r="Q77" i="17"/>
  <c r="P77" i="17"/>
  <c r="O77" i="17"/>
  <c r="N77" i="17"/>
  <c r="M77" i="17"/>
  <c r="L77" i="17"/>
  <c r="K77" i="17"/>
  <c r="J77" i="17"/>
  <c r="I77" i="17"/>
  <c r="H77" i="17"/>
  <c r="G77" i="17"/>
  <c r="F77" i="17"/>
  <c r="E77" i="17"/>
  <c r="V76" i="17"/>
  <c r="U76" i="17"/>
  <c r="T76" i="17"/>
  <c r="S76" i="17"/>
  <c r="R76" i="17"/>
  <c r="Q76" i="17"/>
  <c r="P76" i="17"/>
  <c r="O76" i="17"/>
  <c r="N76" i="17"/>
  <c r="M76" i="17"/>
  <c r="L76" i="17"/>
  <c r="K76" i="17"/>
  <c r="J76" i="17"/>
  <c r="I76" i="17"/>
  <c r="H76" i="17"/>
  <c r="G76" i="17"/>
  <c r="F76" i="17"/>
  <c r="E76" i="17"/>
  <c r="V75" i="17"/>
  <c r="U75" i="17"/>
  <c r="T75" i="17"/>
  <c r="S75" i="17"/>
  <c r="R75" i="17"/>
  <c r="Q75" i="17"/>
  <c r="P75" i="17"/>
  <c r="O75" i="17"/>
  <c r="N75" i="17"/>
  <c r="M75" i="17"/>
  <c r="L75" i="17"/>
  <c r="K75" i="17"/>
  <c r="J75" i="17"/>
  <c r="I75" i="17"/>
  <c r="H75" i="17"/>
  <c r="G75" i="17"/>
  <c r="F75" i="17"/>
  <c r="E75" i="17"/>
  <c r="V74" i="17"/>
  <c r="U74" i="17"/>
  <c r="T74" i="17"/>
  <c r="S74" i="17"/>
  <c r="R74" i="17"/>
  <c r="Q74" i="17"/>
  <c r="P74" i="17"/>
  <c r="O74" i="17"/>
  <c r="N74" i="17"/>
  <c r="M74" i="17"/>
  <c r="L74" i="17"/>
  <c r="K74" i="17"/>
  <c r="J74" i="17"/>
  <c r="I74" i="17"/>
  <c r="H74" i="17"/>
  <c r="G74" i="17"/>
  <c r="F74" i="17"/>
  <c r="E74" i="17"/>
  <c r="V73" i="17"/>
  <c r="U73" i="17"/>
  <c r="T73" i="17"/>
  <c r="S73" i="17"/>
  <c r="R73" i="17"/>
  <c r="Q73" i="17"/>
  <c r="P73" i="17"/>
  <c r="O73" i="17"/>
  <c r="N73" i="17"/>
  <c r="M73" i="17"/>
  <c r="L73" i="17"/>
  <c r="K73" i="17"/>
  <c r="J73" i="17"/>
  <c r="I73" i="17"/>
  <c r="H73" i="17"/>
  <c r="G73" i="17"/>
  <c r="F73" i="17"/>
  <c r="E73" i="17"/>
  <c r="V70" i="17"/>
  <c r="U70" i="17"/>
  <c r="T70" i="17"/>
  <c r="S70" i="17"/>
  <c r="R70" i="17"/>
  <c r="Q70" i="17"/>
  <c r="P70" i="17"/>
  <c r="O70" i="17"/>
  <c r="N70" i="17"/>
  <c r="M70" i="17"/>
  <c r="L70" i="17"/>
  <c r="K70" i="17"/>
  <c r="J70" i="17"/>
  <c r="I70" i="17"/>
  <c r="H70" i="17"/>
  <c r="G70" i="17"/>
  <c r="F70" i="17"/>
  <c r="E70" i="17"/>
  <c r="V69" i="17"/>
  <c r="U69" i="17"/>
  <c r="T69" i="17"/>
  <c r="S69" i="17"/>
  <c r="R69" i="17"/>
  <c r="Q69" i="17"/>
  <c r="P69" i="17"/>
  <c r="O69" i="17"/>
  <c r="N69" i="17"/>
  <c r="M69" i="17"/>
  <c r="L69" i="17"/>
  <c r="K69" i="17"/>
  <c r="J69" i="17"/>
  <c r="I69" i="17"/>
  <c r="H69" i="17"/>
  <c r="G69" i="17"/>
  <c r="F69" i="17"/>
  <c r="E69" i="17"/>
  <c r="V68" i="17"/>
  <c r="U68" i="17"/>
  <c r="T68" i="17"/>
  <c r="S68" i="17"/>
  <c r="R68" i="17"/>
  <c r="Q68" i="17"/>
  <c r="P68" i="17"/>
  <c r="O68" i="17"/>
  <c r="N68" i="17"/>
  <c r="M68" i="17"/>
  <c r="L68" i="17"/>
  <c r="K68" i="17"/>
  <c r="J68" i="17"/>
  <c r="I68" i="17"/>
  <c r="H68" i="17"/>
  <c r="G68" i="17"/>
  <c r="F68" i="17"/>
  <c r="E68" i="17"/>
  <c r="V67" i="17"/>
  <c r="U67" i="17"/>
  <c r="T67" i="17"/>
  <c r="S67" i="17"/>
  <c r="R67" i="17"/>
  <c r="Q67" i="17"/>
  <c r="P67" i="17"/>
  <c r="O67" i="17"/>
  <c r="N67" i="17"/>
  <c r="M67" i="17"/>
  <c r="L67" i="17"/>
  <c r="K67" i="17"/>
  <c r="J67" i="17"/>
  <c r="I67" i="17"/>
  <c r="H67" i="17"/>
  <c r="G67" i="17"/>
  <c r="F67" i="17"/>
  <c r="E67" i="17"/>
  <c r="V66" i="17"/>
  <c r="U66" i="17"/>
  <c r="T66" i="17"/>
  <c r="S66" i="17"/>
  <c r="R66" i="17"/>
  <c r="Q66" i="17"/>
  <c r="P66" i="17"/>
  <c r="O66" i="17"/>
  <c r="N66" i="17"/>
  <c r="M66" i="17"/>
  <c r="L66" i="17"/>
  <c r="K66" i="17"/>
  <c r="J66" i="17"/>
  <c r="I66" i="17"/>
  <c r="H66" i="17"/>
  <c r="G66" i="17"/>
  <c r="F66" i="17"/>
  <c r="E66" i="17"/>
  <c r="V65" i="17"/>
  <c r="U65" i="17"/>
  <c r="T65" i="17"/>
  <c r="S65" i="17"/>
  <c r="R65" i="17"/>
  <c r="Q65" i="17"/>
  <c r="P65" i="17"/>
  <c r="O65" i="17"/>
  <c r="N65" i="17"/>
  <c r="M65" i="17"/>
  <c r="L65" i="17"/>
  <c r="K65" i="17"/>
  <c r="J65" i="17"/>
  <c r="I65" i="17"/>
  <c r="H65" i="17"/>
  <c r="G65" i="17"/>
  <c r="F65" i="17"/>
  <c r="E65" i="17"/>
  <c r="V64" i="17"/>
  <c r="U64" i="17"/>
  <c r="T64" i="17"/>
  <c r="S64" i="17"/>
  <c r="R64" i="17"/>
  <c r="Q64" i="17"/>
  <c r="P64" i="17"/>
  <c r="O64" i="17"/>
  <c r="N64" i="17"/>
  <c r="M64" i="17"/>
  <c r="L64" i="17"/>
  <c r="K64" i="17"/>
  <c r="J64" i="17"/>
  <c r="I64" i="17"/>
  <c r="H64" i="17"/>
  <c r="G64" i="17"/>
  <c r="F64" i="17"/>
  <c r="E64" i="17"/>
  <c r="V63" i="17"/>
  <c r="U63" i="17"/>
  <c r="T63" i="17"/>
  <c r="S63" i="17"/>
  <c r="R63" i="17"/>
  <c r="Q63" i="17"/>
  <c r="P63" i="17"/>
  <c r="O63" i="17"/>
  <c r="N63" i="17"/>
  <c r="M63" i="17"/>
  <c r="L63" i="17"/>
  <c r="K63" i="17"/>
  <c r="J63" i="17"/>
  <c r="I63" i="17"/>
  <c r="H63" i="17"/>
  <c r="G63" i="17"/>
  <c r="F63" i="17"/>
  <c r="E63" i="17"/>
  <c r="V62" i="17"/>
  <c r="U62" i="17"/>
  <c r="T62" i="17"/>
  <c r="S62" i="17"/>
  <c r="R62" i="17"/>
  <c r="Q62" i="17"/>
  <c r="P62" i="17"/>
  <c r="O62" i="17"/>
  <c r="N62" i="17"/>
  <c r="M62" i="17"/>
  <c r="L62" i="17"/>
  <c r="K62" i="17"/>
  <c r="J62" i="17"/>
  <c r="I62" i="17"/>
  <c r="H62" i="17"/>
  <c r="G62" i="17"/>
  <c r="F62" i="17"/>
  <c r="E62" i="17"/>
  <c r="V61" i="17"/>
  <c r="U61" i="17"/>
  <c r="T61" i="17"/>
  <c r="S61" i="17"/>
  <c r="R61" i="17"/>
  <c r="Q61" i="17"/>
  <c r="P61" i="17"/>
  <c r="O61" i="17"/>
  <c r="N61" i="17"/>
  <c r="M61" i="17"/>
  <c r="L61" i="17"/>
  <c r="K61" i="17"/>
  <c r="J61" i="17"/>
  <c r="I61" i="17"/>
  <c r="H61" i="17"/>
  <c r="G61" i="17"/>
  <c r="F61" i="17"/>
  <c r="E61" i="17"/>
  <c r="V60" i="17"/>
  <c r="U60" i="17"/>
  <c r="T60" i="17"/>
  <c r="S60" i="17"/>
  <c r="R60" i="17"/>
  <c r="Q60" i="17"/>
  <c r="P60" i="17"/>
  <c r="O60" i="17"/>
  <c r="N60" i="17"/>
  <c r="M60" i="17"/>
  <c r="L60" i="17"/>
  <c r="K60" i="17"/>
  <c r="J60" i="17"/>
  <c r="I60" i="17"/>
  <c r="H60" i="17"/>
  <c r="G60" i="17"/>
  <c r="F60" i="17"/>
  <c r="E60" i="17"/>
  <c r="V59" i="17"/>
  <c r="U59" i="17"/>
  <c r="T59" i="17"/>
  <c r="S59" i="17"/>
  <c r="R59" i="17"/>
  <c r="Q59" i="17"/>
  <c r="P59" i="17"/>
  <c r="O59" i="17"/>
  <c r="N59" i="17"/>
  <c r="M59" i="17"/>
  <c r="L59" i="17"/>
  <c r="K59" i="17"/>
  <c r="J59" i="17"/>
  <c r="I59" i="17"/>
  <c r="H59" i="17"/>
  <c r="G59" i="17"/>
  <c r="F59" i="17"/>
  <c r="E59" i="17"/>
  <c r="AV57" i="17" a="1"/>
  <c r="AV57" i="17" s="1"/>
  <c r="AU57" i="17" a="1"/>
  <c r="AU57" i="17" s="1"/>
  <c r="AT57" i="17" a="1"/>
  <c r="AT57" i="17" s="1"/>
  <c r="V56" i="17"/>
  <c r="U56" i="17"/>
  <c r="T56" i="17"/>
  <c r="S56" i="17"/>
  <c r="R56" i="17"/>
  <c r="Q56" i="17"/>
  <c r="P56" i="17"/>
  <c r="O56" i="17"/>
  <c r="N56" i="17"/>
  <c r="M56" i="17"/>
  <c r="L56" i="17"/>
  <c r="K56" i="17"/>
  <c r="J56" i="17"/>
  <c r="I56" i="17"/>
  <c r="H56" i="17"/>
  <c r="G56" i="17"/>
  <c r="F56" i="17"/>
  <c r="E56" i="17"/>
  <c r="V55" i="17"/>
  <c r="U55" i="17"/>
  <c r="T55" i="17"/>
  <c r="S55" i="17"/>
  <c r="R55" i="17"/>
  <c r="Q55" i="17"/>
  <c r="P55" i="17"/>
  <c r="O55" i="17"/>
  <c r="N55" i="17"/>
  <c r="M55" i="17"/>
  <c r="L55" i="17"/>
  <c r="K55" i="17"/>
  <c r="J55" i="17"/>
  <c r="I55" i="17"/>
  <c r="H55" i="17"/>
  <c r="G55" i="17"/>
  <c r="F55" i="17"/>
  <c r="E55" i="17"/>
  <c r="V54" i="17"/>
  <c r="U54" i="17"/>
  <c r="T54" i="17"/>
  <c r="S54" i="17"/>
  <c r="R54" i="17"/>
  <c r="Q54" i="17"/>
  <c r="P54" i="17"/>
  <c r="O54" i="17"/>
  <c r="N54" i="17"/>
  <c r="M54" i="17"/>
  <c r="L54" i="17"/>
  <c r="K54" i="17"/>
  <c r="J54" i="17"/>
  <c r="I54" i="17"/>
  <c r="H54" i="17"/>
  <c r="G54" i="17"/>
  <c r="F54" i="17"/>
  <c r="E54" i="17"/>
  <c r="V53" i="17"/>
  <c r="U53" i="17"/>
  <c r="T53" i="17"/>
  <c r="S53" i="17"/>
  <c r="R53" i="17"/>
  <c r="Q53" i="17"/>
  <c r="P53" i="17"/>
  <c r="O53" i="17"/>
  <c r="N53" i="17"/>
  <c r="M53" i="17"/>
  <c r="L53" i="17"/>
  <c r="K53" i="17"/>
  <c r="J53" i="17"/>
  <c r="I53" i="17"/>
  <c r="H53" i="17"/>
  <c r="G53" i="17"/>
  <c r="F53" i="17"/>
  <c r="E53" i="17"/>
  <c r="V52" i="17"/>
  <c r="U52" i="17"/>
  <c r="T52" i="17"/>
  <c r="S52" i="17"/>
  <c r="R52" i="17"/>
  <c r="Q52" i="17"/>
  <c r="P52" i="17"/>
  <c r="O52" i="17"/>
  <c r="N52" i="17"/>
  <c r="M52" i="17"/>
  <c r="L52" i="17"/>
  <c r="K52" i="17"/>
  <c r="J52" i="17"/>
  <c r="I52" i="17"/>
  <c r="H52" i="17"/>
  <c r="G52" i="17"/>
  <c r="F52" i="17"/>
  <c r="E52" i="17"/>
  <c r="V51" i="17"/>
  <c r="U51" i="17"/>
  <c r="T51" i="17"/>
  <c r="S51" i="17"/>
  <c r="R51" i="17"/>
  <c r="Q51" i="17"/>
  <c r="P51" i="17"/>
  <c r="O51" i="17"/>
  <c r="N51" i="17"/>
  <c r="M51" i="17"/>
  <c r="L51" i="17"/>
  <c r="K51" i="17"/>
  <c r="J51" i="17"/>
  <c r="I51" i="17"/>
  <c r="H51" i="17"/>
  <c r="G51" i="17"/>
  <c r="F51" i="17"/>
  <c r="E51" i="17"/>
  <c r="V50" i="17"/>
  <c r="U50" i="17"/>
  <c r="T50" i="17"/>
  <c r="S50" i="17"/>
  <c r="R50" i="17"/>
  <c r="Q50" i="17"/>
  <c r="P50" i="17"/>
  <c r="O50" i="17"/>
  <c r="N50" i="17"/>
  <c r="M50" i="17"/>
  <c r="L50" i="17"/>
  <c r="K50" i="17"/>
  <c r="J50" i="17"/>
  <c r="I50" i="17"/>
  <c r="H50" i="17"/>
  <c r="G50" i="17"/>
  <c r="F50" i="17"/>
  <c r="E50" i="17"/>
  <c r="V49" i="17"/>
  <c r="U49" i="17"/>
  <c r="T49" i="17"/>
  <c r="S49" i="17"/>
  <c r="R49" i="17"/>
  <c r="Q49" i="17"/>
  <c r="P49" i="17"/>
  <c r="O49" i="17"/>
  <c r="N49" i="17"/>
  <c r="M49" i="17"/>
  <c r="L49" i="17"/>
  <c r="K49" i="17"/>
  <c r="J49" i="17"/>
  <c r="I49" i="17"/>
  <c r="H49" i="17"/>
  <c r="G49" i="17"/>
  <c r="F49" i="17"/>
  <c r="E49" i="17"/>
  <c r="V48" i="17"/>
  <c r="U48" i="17"/>
  <c r="T48" i="17"/>
  <c r="S48" i="17"/>
  <c r="R48" i="17"/>
  <c r="Q48" i="17"/>
  <c r="P48" i="17"/>
  <c r="O48" i="17"/>
  <c r="N48" i="17"/>
  <c r="M48" i="17"/>
  <c r="L48" i="17"/>
  <c r="K48" i="17"/>
  <c r="J48" i="17"/>
  <c r="I48" i="17"/>
  <c r="H48" i="17"/>
  <c r="G48" i="17"/>
  <c r="F48" i="17"/>
  <c r="E48" i="17"/>
  <c r="V47" i="17"/>
  <c r="U47" i="17"/>
  <c r="T47" i="17"/>
  <c r="S47" i="17"/>
  <c r="R47" i="17"/>
  <c r="Q47" i="17"/>
  <c r="P47" i="17"/>
  <c r="O47" i="17"/>
  <c r="N47" i="17"/>
  <c r="M47" i="17"/>
  <c r="L47" i="17"/>
  <c r="K47" i="17"/>
  <c r="J47" i="17"/>
  <c r="I47" i="17"/>
  <c r="H47" i="17"/>
  <c r="G47" i="17"/>
  <c r="F47" i="17"/>
  <c r="E47" i="17"/>
  <c r="V46" i="17"/>
  <c r="U46" i="17"/>
  <c r="T46" i="17"/>
  <c r="S46" i="17"/>
  <c r="R46" i="17"/>
  <c r="Q46" i="17"/>
  <c r="P46" i="17"/>
  <c r="O46" i="17"/>
  <c r="N46" i="17"/>
  <c r="M46" i="17"/>
  <c r="L46" i="17"/>
  <c r="K46" i="17"/>
  <c r="J46" i="17"/>
  <c r="I46" i="17"/>
  <c r="H46" i="17"/>
  <c r="G46" i="17"/>
  <c r="F46" i="17"/>
  <c r="E46" i="17"/>
  <c r="V45" i="17"/>
  <c r="U45" i="17"/>
  <c r="T45" i="17"/>
  <c r="S45" i="17"/>
  <c r="R45" i="17"/>
  <c r="Q45" i="17"/>
  <c r="P45" i="17"/>
  <c r="O45" i="17"/>
  <c r="N45" i="17"/>
  <c r="M45" i="17"/>
  <c r="L45" i="17"/>
  <c r="K45" i="17"/>
  <c r="J45" i="17"/>
  <c r="I45" i="17"/>
  <c r="H45" i="17"/>
  <c r="G45" i="17"/>
  <c r="F45" i="17"/>
  <c r="E45" i="17"/>
  <c r="V42" i="17"/>
  <c r="U42" i="17"/>
  <c r="T42" i="17"/>
  <c r="S42" i="17"/>
  <c r="R42" i="17"/>
  <c r="Q42" i="17"/>
  <c r="P42" i="17"/>
  <c r="O42" i="17"/>
  <c r="N42" i="17"/>
  <c r="M42" i="17"/>
  <c r="L42" i="17"/>
  <c r="K42" i="17"/>
  <c r="J42" i="17"/>
  <c r="I42" i="17"/>
  <c r="H42" i="17"/>
  <c r="G42" i="17"/>
  <c r="F42" i="17"/>
  <c r="E42" i="17"/>
  <c r="V41" i="17"/>
  <c r="U41" i="17"/>
  <c r="T41" i="17"/>
  <c r="S41" i="17"/>
  <c r="R41" i="17"/>
  <c r="Q41" i="17"/>
  <c r="P41" i="17"/>
  <c r="O41" i="17"/>
  <c r="N41" i="17"/>
  <c r="M41" i="17"/>
  <c r="L41" i="17"/>
  <c r="K41" i="17"/>
  <c r="J41" i="17"/>
  <c r="I41" i="17"/>
  <c r="H41" i="17"/>
  <c r="G41" i="17"/>
  <c r="F41" i="17"/>
  <c r="E41" i="17"/>
  <c r="V40" i="17"/>
  <c r="U40" i="17"/>
  <c r="T40" i="17"/>
  <c r="S40" i="17"/>
  <c r="R40" i="17"/>
  <c r="Q40" i="17"/>
  <c r="P40" i="17"/>
  <c r="O40" i="17"/>
  <c r="N40" i="17"/>
  <c r="M40" i="17"/>
  <c r="L40" i="17"/>
  <c r="K40" i="17"/>
  <c r="J40" i="17"/>
  <c r="I40" i="17"/>
  <c r="H40" i="17"/>
  <c r="G40" i="17"/>
  <c r="F40" i="17"/>
  <c r="E40" i="17"/>
  <c r="V39" i="17"/>
  <c r="U39" i="17"/>
  <c r="T39" i="17"/>
  <c r="S39" i="17"/>
  <c r="R39" i="17"/>
  <c r="Q39" i="17"/>
  <c r="P39" i="17"/>
  <c r="O39" i="17"/>
  <c r="N39" i="17"/>
  <c r="M39" i="17"/>
  <c r="L39" i="17"/>
  <c r="K39" i="17"/>
  <c r="J39" i="17"/>
  <c r="I39" i="17"/>
  <c r="H39" i="17"/>
  <c r="G39" i="17"/>
  <c r="F39" i="17"/>
  <c r="E39" i="17"/>
  <c r="V38" i="17"/>
  <c r="U38" i="17"/>
  <c r="T38" i="17"/>
  <c r="S38" i="17"/>
  <c r="R38" i="17"/>
  <c r="Q38" i="17"/>
  <c r="P38" i="17"/>
  <c r="O38" i="17"/>
  <c r="N38" i="17"/>
  <c r="M38" i="17"/>
  <c r="L38" i="17"/>
  <c r="K38" i="17"/>
  <c r="J38" i="17"/>
  <c r="I38" i="17"/>
  <c r="H38" i="17"/>
  <c r="G38" i="17"/>
  <c r="F38" i="17"/>
  <c r="E38" i="17"/>
  <c r="V37" i="17"/>
  <c r="U37" i="17"/>
  <c r="T37" i="17"/>
  <c r="S37" i="17"/>
  <c r="R37" i="17"/>
  <c r="Q37" i="17"/>
  <c r="P37" i="17"/>
  <c r="O37" i="17"/>
  <c r="N37" i="17"/>
  <c r="M37" i="17"/>
  <c r="L37" i="17"/>
  <c r="K37" i="17"/>
  <c r="J37" i="17"/>
  <c r="I37" i="17"/>
  <c r="H37" i="17"/>
  <c r="G37" i="17"/>
  <c r="F37" i="17"/>
  <c r="E37" i="17"/>
  <c r="V36" i="17"/>
  <c r="U36" i="17"/>
  <c r="T36" i="17"/>
  <c r="S36" i="17"/>
  <c r="R36" i="17"/>
  <c r="Q36" i="17"/>
  <c r="P36" i="17"/>
  <c r="O36" i="17"/>
  <c r="N36" i="17"/>
  <c r="M36" i="17"/>
  <c r="L36" i="17"/>
  <c r="K36" i="17"/>
  <c r="J36" i="17"/>
  <c r="I36" i="17"/>
  <c r="H36" i="17"/>
  <c r="G36" i="17"/>
  <c r="F36" i="17"/>
  <c r="E36" i="17"/>
  <c r="V35" i="17"/>
  <c r="U35" i="17"/>
  <c r="T35" i="17"/>
  <c r="S35" i="17"/>
  <c r="R35" i="17"/>
  <c r="Q35" i="17"/>
  <c r="P35" i="17"/>
  <c r="O35" i="17"/>
  <c r="N35" i="17"/>
  <c r="M35" i="17"/>
  <c r="L35" i="17"/>
  <c r="K35" i="17"/>
  <c r="J35" i="17"/>
  <c r="I35" i="17"/>
  <c r="H35" i="17"/>
  <c r="G35" i="17"/>
  <c r="F35" i="17"/>
  <c r="E35" i="17"/>
  <c r="V34" i="17"/>
  <c r="U34" i="17"/>
  <c r="T34" i="17"/>
  <c r="S34" i="17"/>
  <c r="R34" i="17"/>
  <c r="Q34" i="17"/>
  <c r="P34" i="17"/>
  <c r="O34" i="17"/>
  <c r="N34" i="17"/>
  <c r="M34" i="17"/>
  <c r="L34" i="17"/>
  <c r="K34" i="17"/>
  <c r="J34" i="17"/>
  <c r="I34" i="17"/>
  <c r="H34" i="17"/>
  <c r="G34" i="17"/>
  <c r="F34" i="17"/>
  <c r="E34" i="17"/>
  <c r="V33" i="17"/>
  <c r="U33" i="17"/>
  <c r="T33" i="17"/>
  <c r="S33" i="17"/>
  <c r="R33" i="17"/>
  <c r="Q33" i="17"/>
  <c r="P33" i="17"/>
  <c r="O33" i="17"/>
  <c r="N33" i="17"/>
  <c r="M33" i="17"/>
  <c r="L33" i="17"/>
  <c r="K33" i="17"/>
  <c r="J33" i="17"/>
  <c r="I33" i="17"/>
  <c r="H33" i="17"/>
  <c r="G33" i="17"/>
  <c r="F33" i="17"/>
  <c r="E33" i="17"/>
  <c r="V32" i="17"/>
  <c r="U32" i="17"/>
  <c r="T32" i="17"/>
  <c r="S32" i="17"/>
  <c r="R32" i="17"/>
  <c r="Q32" i="17"/>
  <c r="P32" i="17"/>
  <c r="O32" i="17"/>
  <c r="N32" i="17"/>
  <c r="M32" i="17"/>
  <c r="L32" i="17"/>
  <c r="K32" i="17"/>
  <c r="J32" i="17"/>
  <c r="I32" i="17"/>
  <c r="H32" i="17"/>
  <c r="G32" i="17"/>
  <c r="F32" i="17"/>
  <c r="E32" i="17"/>
  <c r="V31" i="17"/>
  <c r="U31" i="17"/>
  <c r="T31" i="17"/>
  <c r="S31" i="17"/>
  <c r="R31" i="17"/>
  <c r="Q31" i="17"/>
  <c r="P31" i="17"/>
  <c r="O31" i="17"/>
  <c r="N31" i="17"/>
  <c r="M31" i="17"/>
  <c r="L31" i="17"/>
  <c r="K31" i="17"/>
  <c r="J31" i="17"/>
  <c r="I31" i="17"/>
  <c r="H31" i="17"/>
  <c r="G31" i="17"/>
  <c r="F31" i="17"/>
  <c r="E31" i="17"/>
  <c r="V28" i="17"/>
  <c r="U28" i="17"/>
  <c r="T28" i="17"/>
  <c r="S28" i="17"/>
  <c r="R28" i="17"/>
  <c r="Q28" i="17"/>
  <c r="P28" i="17"/>
  <c r="O28" i="17"/>
  <c r="N28" i="17"/>
  <c r="M28" i="17"/>
  <c r="L28" i="17"/>
  <c r="K28" i="17"/>
  <c r="J28" i="17"/>
  <c r="I28" i="17"/>
  <c r="H28" i="17"/>
  <c r="G28" i="17"/>
  <c r="F28" i="17"/>
  <c r="E28" i="17"/>
  <c r="V27" i="17"/>
  <c r="U27" i="17"/>
  <c r="T27" i="17"/>
  <c r="S27" i="17"/>
  <c r="R27" i="17"/>
  <c r="Q27" i="17"/>
  <c r="P27" i="17"/>
  <c r="O27" i="17"/>
  <c r="N27" i="17"/>
  <c r="M27" i="17"/>
  <c r="L27" i="17"/>
  <c r="K27" i="17"/>
  <c r="J27" i="17"/>
  <c r="I27" i="17"/>
  <c r="H27" i="17"/>
  <c r="G27" i="17"/>
  <c r="F27" i="17"/>
  <c r="E27" i="17"/>
  <c r="V26" i="17"/>
  <c r="U26" i="17"/>
  <c r="T26" i="17"/>
  <c r="S26" i="17"/>
  <c r="R26" i="17"/>
  <c r="Q26" i="17"/>
  <c r="P26" i="17"/>
  <c r="O26" i="17"/>
  <c r="N26" i="17"/>
  <c r="M26" i="17"/>
  <c r="L26" i="17"/>
  <c r="K26" i="17"/>
  <c r="J26" i="17"/>
  <c r="I26" i="17"/>
  <c r="H26" i="17"/>
  <c r="G26" i="17"/>
  <c r="F26" i="17"/>
  <c r="E26" i="17"/>
  <c r="V25" i="17"/>
  <c r="U25" i="17"/>
  <c r="T25" i="17"/>
  <c r="S25" i="17"/>
  <c r="R25" i="17"/>
  <c r="Q25" i="17"/>
  <c r="P25" i="17"/>
  <c r="O25" i="17"/>
  <c r="N25" i="17"/>
  <c r="M25" i="17"/>
  <c r="L25" i="17"/>
  <c r="K25" i="17"/>
  <c r="J25" i="17"/>
  <c r="I25" i="17"/>
  <c r="H25" i="17"/>
  <c r="G25" i="17"/>
  <c r="F25" i="17"/>
  <c r="E25" i="17"/>
  <c r="V24" i="17"/>
  <c r="U24" i="17"/>
  <c r="T24" i="17"/>
  <c r="S24" i="17"/>
  <c r="R24" i="17"/>
  <c r="Q24" i="17"/>
  <c r="P24" i="17"/>
  <c r="O24" i="17"/>
  <c r="N24" i="17"/>
  <c r="M24" i="17"/>
  <c r="L24" i="17"/>
  <c r="K24" i="17"/>
  <c r="J24" i="17"/>
  <c r="I24" i="17"/>
  <c r="H24" i="17"/>
  <c r="G24" i="17"/>
  <c r="F24" i="17"/>
  <c r="E24" i="17"/>
  <c r="V23" i="17"/>
  <c r="U23" i="17"/>
  <c r="T23" i="17"/>
  <c r="S23" i="17"/>
  <c r="R23" i="17"/>
  <c r="Q23" i="17"/>
  <c r="P23" i="17"/>
  <c r="O23" i="17"/>
  <c r="N23" i="17"/>
  <c r="M23" i="17"/>
  <c r="L23" i="17"/>
  <c r="K23" i="17"/>
  <c r="J23" i="17"/>
  <c r="I23" i="17"/>
  <c r="H23" i="17"/>
  <c r="G23" i="17"/>
  <c r="F23" i="17"/>
  <c r="E23" i="17"/>
  <c r="V22" i="17"/>
  <c r="U22" i="17"/>
  <c r="T22" i="17"/>
  <c r="S22" i="17"/>
  <c r="R22" i="17"/>
  <c r="Q22" i="17"/>
  <c r="P22" i="17"/>
  <c r="O22" i="17"/>
  <c r="N22" i="17"/>
  <c r="M22" i="17"/>
  <c r="L22" i="17"/>
  <c r="K22" i="17"/>
  <c r="J22" i="17"/>
  <c r="I22" i="17"/>
  <c r="H22" i="17"/>
  <c r="G22" i="17"/>
  <c r="F22" i="17"/>
  <c r="E22" i="17"/>
  <c r="V21" i="17"/>
  <c r="U21" i="17"/>
  <c r="T21" i="17"/>
  <c r="S21" i="17"/>
  <c r="R21" i="17"/>
  <c r="Q21" i="17"/>
  <c r="P21" i="17"/>
  <c r="O21" i="17"/>
  <c r="N21" i="17"/>
  <c r="M21" i="17"/>
  <c r="L21" i="17"/>
  <c r="K21" i="17"/>
  <c r="J21" i="17"/>
  <c r="I21" i="17"/>
  <c r="H21" i="17"/>
  <c r="G21" i="17"/>
  <c r="F21" i="17"/>
  <c r="E21" i="17"/>
  <c r="V20" i="17"/>
  <c r="U20" i="17"/>
  <c r="T20" i="17"/>
  <c r="S20" i="17"/>
  <c r="R20" i="17"/>
  <c r="Q20" i="17"/>
  <c r="P20" i="17"/>
  <c r="O20" i="17"/>
  <c r="N20" i="17"/>
  <c r="M20" i="17"/>
  <c r="L20" i="17"/>
  <c r="K20" i="17"/>
  <c r="J20" i="17"/>
  <c r="I20" i="17"/>
  <c r="H20" i="17"/>
  <c r="G20" i="17"/>
  <c r="F20" i="17"/>
  <c r="E20" i="17"/>
  <c r="AV18" i="17" a="1"/>
  <c r="AV18" i="17" s="1"/>
  <c r="AU18" i="17" a="1"/>
  <c r="AU18" i="17" s="1"/>
  <c r="AT18" i="17" a="1"/>
  <c r="AT18" i="17" s="1"/>
  <c r="V17" i="17"/>
  <c r="U17" i="17"/>
  <c r="T17" i="17"/>
  <c r="S17" i="17"/>
  <c r="R17" i="17"/>
  <c r="Q17" i="17"/>
  <c r="P17" i="17"/>
  <c r="O17" i="17"/>
  <c r="N17" i="17"/>
  <c r="M17" i="17"/>
  <c r="L17" i="17"/>
  <c r="K17" i="17"/>
  <c r="J17" i="17"/>
  <c r="I17" i="17"/>
  <c r="H17" i="17"/>
  <c r="G17" i="17"/>
  <c r="F17" i="17"/>
  <c r="E17" i="17"/>
  <c r="V16" i="17"/>
  <c r="U16" i="17"/>
  <c r="T16" i="17"/>
  <c r="S16" i="17"/>
  <c r="R16" i="17"/>
  <c r="Q16" i="17"/>
  <c r="P16" i="17"/>
  <c r="O16" i="17"/>
  <c r="N16" i="17"/>
  <c r="M16" i="17"/>
  <c r="L16" i="17"/>
  <c r="K16" i="17"/>
  <c r="J16" i="17"/>
  <c r="I16" i="17"/>
  <c r="H16" i="17"/>
  <c r="G16" i="17"/>
  <c r="F16" i="17"/>
  <c r="E16" i="17"/>
  <c r="V15" i="17"/>
  <c r="U15" i="17"/>
  <c r="T15" i="17"/>
  <c r="S15" i="17"/>
  <c r="R15" i="17"/>
  <c r="Q15" i="17"/>
  <c r="P15" i="17"/>
  <c r="O15" i="17"/>
  <c r="N15" i="17"/>
  <c r="M15" i="17"/>
  <c r="L15" i="17"/>
  <c r="K15" i="17"/>
  <c r="J15" i="17"/>
  <c r="I15" i="17"/>
  <c r="H15" i="17"/>
  <c r="G15" i="17"/>
  <c r="F15" i="17"/>
  <c r="E15" i="17"/>
  <c r="V14" i="17"/>
  <c r="U14" i="17"/>
  <c r="T14" i="17"/>
  <c r="S14" i="17"/>
  <c r="R14" i="17"/>
  <c r="Q14" i="17"/>
  <c r="P14" i="17"/>
  <c r="O14" i="17"/>
  <c r="N14" i="17"/>
  <c r="M14" i="17"/>
  <c r="L14" i="17"/>
  <c r="K14" i="17"/>
  <c r="J14" i="17"/>
  <c r="I14" i="17"/>
  <c r="H14" i="17"/>
  <c r="G14" i="17"/>
  <c r="F14" i="17"/>
  <c r="E14" i="17"/>
  <c r="V13" i="17"/>
  <c r="U13" i="17"/>
  <c r="T13" i="17"/>
  <c r="S13" i="17"/>
  <c r="R13" i="17"/>
  <c r="Q13" i="17"/>
  <c r="P13" i="17"/>
  <c r="O13" i="17"/>
  <c r="N13" i="17"/>
  <c r="M13" i="17"/>
  <c r="L13" i="17"/>
  <c r="K13" i="17"/>
  <c r="J13" i="17"/>
  <c r="I13" i="17"/>
  <c r="H13" i="17"/>
  <c r="G13" i="17"/>
  <c r="F13" i="17"/>
  <c r="E13" i="17"/>
  <c r="V12" i="17"/>
  <c r="U12" i="17"/>
  <c r="T12" i="17"/>
  <c r="S12" i="17"/>
  <c r="R12" i="17"/>
  <c r="Q12" i="17"/>
  <c r="P12" i="17"/>
  <c r="O12" i="17"/>
  <c r="N12" i="17"/>
  <c r="M12" i="17"/>
  <c r="L12" i="17"/>
  <c r="K12" i="17"/>
  <c r="J12" i="17"/>
  <c r="I12" i="17"/>
  <c r="H12" i="17"/>
  <c r="G12" i="17"/>
  <c r="F12" i="17"/>
  <c r="E12" i="17"/>
  <c r="V11" i="17"/>
  <c r="U11" i="17"/>
  <c r="T11" i="17"/>
  <c r="S11" i="17"/>
  <c r="R11" i="17"/>
  <c r="Q11" i="17"/>
  <c r="P11" i="17"/>
  <c r="O11" i="17"/>
  <c r="N11" i="17"/>
  <c r="M11" i="17"/>
  <c r="L11" i="17"/>
  <c r="K11" i="17"/>
  <c r="J11" i="17"/>
  <c r="I11" i="17"/>
  <c r="H11" i="17"/>
  <c r="G11" i="17"/>
  <c r="F11" i="17"/>
  <c r="E11" i="17"/>
  <c r="V10" i="17"/>
  <c r="U10" i="17"/>
  <c r="T10" i="17"/>
  <c r="S10" i="17"/>
  <c r="R10" i="17"/>
  <c r="Q10" i="17"/>
  <c r="P10" i="17"/>
  <c r="O10" i="17"/>
  <c r="N10" i="17"/>
  <c r="M10" i="17"/>
  <c r="L10" i="17"/>
  <c r="K10" i="17"/>
  <c r="J10" i="17"/>
  <c r="I10" i="17"/>
  <c r="H10" i="17"/>
  <c r="G10" i="17"/>
  <c r="F10" i="17"/>
  <c r="E10" i="17"/>
  <c r="V9" i="17"/>
  <c r="U9" i="17"/>
  <c r="T9" i="17"/>
  <c r="S9" i="17"/>
  <c r="R9" i="17"/>
  <c r="Q9" i="17"/>
  <c r="P9" i="17"/>
  <c r="O9" i="17"/>
  <c r="N9" i="17"/>
  <c r="M9" i="17"/>
  <c r="L9" i="17"/>
  <c r="K9" i="17"/>
  <c r="J9" i="17"/>
  <c r="I9" i="17"/>
  <c r="H9" i="17"/>
  <c r="G9" i="17"/>
  <c r="F9" i="17"/>
  <c r="E9" i="17"/>
  <c r="V8" i="17"/>
  <c r="U8" i="17"/>
  <c r="T8" i="17"/>
  <c r="S8" i="17"/>
  <c r="R8" i="17"/>
  <c r="Q8" i="17"/>
  <c r="P8" i="17"/>
  <c r="O8" i="17"/>
  <c r="N8" i="17"/>
  <c r="M8" i="17"/>
  <c r="L8" i="17"/>
  <c r="K8" i="17"/>
  <c r="J8" i="17"/>
  <c r="I8" i="17"/>
  <c r="H8" i="17"/>
  <c r="G8" i="17"/>
  <c r="F8" i="17"/>
  <c r="E8" i="17"/>
  <c r="V7" i="17"/>
  <c r="U7" i="17"/>
  <c r="T7" i="17"/>
  <c r="S7" i="17"/>
  <c r="R7" i="17"/>
  <c r="Q7" i="17"/>
  <c r="P7" i="17"/>
  <c r="O7" i="17"/>
  <c r="N7" i="17"/>
  <c r="M7" i="17"/>
  <c r="L7" i="17"/>
  <c r="K7" i="17"/>
  <c r="J7" i="17"/>
  <c r="I7" i="17"/>
  <c r="H7" i="17"/>
  <c r="G7" i="17"/>
  <c r="F7" i="17"/>
  <c r="E7" i="17"/>
  <c r="V6" i="17"/>
  <c r="U6" i="17"/>
  <c r="T6" i="17"/>
  <c r="S6" i="17"/>
  <c r="R6" i="17"/>
  <c r="Q6" i="17"/>
  <c r="P6" i="17"/>
  <c r="O6" i="17"/>
  <c r="N6" i="17"/>
  <c r="M6" i="17"/>
  <c r="L6" i="17"/>
  <c r="K6" i="17"/>
  <c r="J6" i="17"/>
  <c r="I6" i="17"/>
  <c r="H6" i="17"/>
  <c r="G6" i="17"/>
  <c r="F6" i="17"/>
  <c r="E6" i="17"/>
  <c r="P55" i="12" l="1"/>
  <c r="P88" i="12" s="1"/>
  <c r="Q55" i="12"/>
  <c r="Q88" i="12" s="1"/>
  <c r="R55" i="12"/>
  <c r="R88" i="12" s="1"/>
  <c r="S55" i="12"/>
  <c r="S88" i="12" s="1"/>
  <c r="U53" i="12"/>
  <c r="U54" i="12"/>
  <c r="U52" i="12"/>
  <c r="T52" i="12"/>
  <c r="U50" i="12"/>
  <c r="U49" i="12"/>
  <c r="U48" i="12"/>
  <c r="D51" i="12"/>
  <c r="D86" i="12" s="1"/>
  <c r="E51" i="12"/>
  <c r="E86" i="12" s="1"/>
  <c r="F51" i="12"/>
  <c r="F86" i="12" s="1"/>
  <c r="G51" i="12"/>
  <c r="G86" i="12" s="1"/>
  <c r="H51" i="12"/>
  <c r="H86" i="12" s="1"/>
  <c r="I51" i="12"/>
  <c r="I86" i="12" s="1"/>
  <c r="J51" i="12"/>
  <c r="J86" i="12" s="1"/>
  <c r="K51" i="12"/>
  <c r="K86" i="12" s="1"/>
  <c r="L51" i="12"/>
  <c r="L86" i="12" s="1"/>
  <c r="M51" i="12"/>
  <c r="M86" i="12" s="1"/>
  <c r="N51" i="12"/>
  <c r="N86" i="12" s="1"/>
  <c r="O51" i="12"/>
  <c r="O86" i="12" s="1"/>
  <c r="P51" i="12"/>
  <c r="P86" i="12" s="1"/>
  <c r="Q51" i="12"/>
  <c r="Q86" i="12" s="1"/>
  <c r="R51" i="12"/>
  <c r="R86" i="12" s="1"/>
  <c r="S51" i="12"/>
  <c r="S86" i="12" s="1"/>
  <c r="C51" i="12"/>
  <c r="C86" i="12" s="1"/>
  <c r="C47" i="12"/>
  <c r="D55" i="12"/>
  <c r="D88" i="12" s="1"/>
  <c r="C55" i="12"/>
  <c r="C88" i="12" s="1"/>
  <c r="E55" i="12"/>
  <c r="E88" i="12" s="1"/>
  <c r="F55" i="12"/>
  <c r="F88" i="12" s="1"/>
  <c r="G55" i="12"/>
  <c r="G88" i="12" s="1"/>
  <c r="H55" i="12"/>
  <c r="H88" i="12" s="1"/>
  <c r="I55" i="12"/>
  <c r="I88" i="12" s="1"/>
  <c r="J55" i="12"/>
  <c r="J88" i="12" s="1"/>
  <c r="K55" i="12"/>
  <c r="K88" i="12" s="1"/>
  <c r="L55" i="12"/>
  <c r="L88" i="12" s="1"/>
  <c r="M55" i="12"/>
  <c r="M88" i="12" s="1"/>
  <c r="N55" i="12"/>
  <c r="N88" i="12" s="1"/>
  <c r="O55" i="12"/>
  <c r="O88" i="12" s="1"/>
  <c r="T54" i="12"/>
  <c r="T53" i="12"/>
  <c r="B88" i="12" l="1"/>
  <c r="U51" i="12"/>
  <c r="T55" i="12"/>
  <c r="U55" i="12"/>
  <c r="T92" i="12"/>
  <c r="B104" i="12"/>
  <c r="B107" i="12" s="1"/>
  <c r="B109" i="12" l="1"/>
  <c r="D84" i="12"/>
  <c r="E84" i="12"/>
  <c r="F84" i="12"/>
  <c r="G84" i="12"/>
  <c r="H84" i="12"/>
  <c r="I84" i="12"/>
  <c r="J84" i="12"/>
  <c r="K84" i="12"/>
  <c r="L84" i="12"/>
  <c r="M84" i="12"/>
  <c r="N84" i="12"/>
  <c r="O84" i="12"/>
  <c r="P84" i="12"/>
  <c r="Q84" i="12"/>
  <c r="R84" i="12"/>
  <c r="S84" i="12"/>
  <c r="C84" i="12"/>
  <c r="T17" i="12" l="1"/>
  <c r="L47" i="12" l="1"/>
  <c r="L85" i="12" s="1"/>
  <c r="D47" i="12"/>
  <c r="D85" i="12" l="1"/>
  <c r="T50" i="12"/>
  <c r="T49" i="12"/>
  <c r="T48" i="12"/>
  <c r="E47" i="12"/>
  <c r="E85" i="12" s="1"/>
  <c r="F47" i="12"/>
  <c r="F85" i="12" s="1"/>
  <c r="G47" i="12"/>
  <c r="G85" i="12" s="1"/>
  <c r="H47" i="12"/>
  <c r="H85" i="12" s="1"/>
  <c r="I47" i="12"/>
  <c r="I85" i="12" s="1"/>
  <c r="J47" i="12"/>
  <c r="J85" i="12" s="1"/>
  <c r="K47" i="12"/>
  <c r="K85" i="12" s="1"/>
  <c r="M47" i="12"/>
  <c r="M85" i="12" s="1"/>
  <c r="N47" i="12"/>
  <c r="N85" i="12" s="1"/>
  <c r="O47" i="12"/>
  <c r="O85" i="12" s="1"/>
  <c r="P47" i="12"/>
  <c r="P85" i="12" s="1"/>
  <c r="Q47" i="12"/>
  <c r="Q85" i="12" s="1"/>
  <c r="R47" i="12"/>
  <c r="R85" i="12" s="1"/>
  <c r="S47" i="12"/>
  <c r="S85" i="12" s="1"/>
  <c r="C85" i="12"/>
  <c r="T45" i="12"/>
  <c r="U45" i="12" s="1"/>
  <c r="T46" i="12"/>
  <c r="U46" i="12" s="1"/>
  <c r="T44" i="12"/>
  <c r="U44" i="12" s="1"/>
  <c r="D39" i="12"/>
  <c r="E39" i="12"/>
  <c r="E83" i="12" s="1"/>
  <c r="F39" i="12"/>
  <c r="F83" i="12" s="1"/>
  <c r="G39" i="12"/>
  <c r="G83" i="12" s="1"/>
  <c r="H39" i="12"/>
  <c r="H83" i="12" s="1"/>
  <c r="I39" i="12"/>
  <c r="I83" i="12" s="1"/>
  <c r="J39" i="12"/>
  <c r="J83" i="12" s="1"/>
  <c r="K39" i="12"/>
  <c r="K83" i="12" s="1"/>
  <c r="L39" i="12"/>
  <c r="L83" i="12" s="1"/>
  <c r="M39" i="12"/>
  <c r="M83" i="12" s="1"/>
  <c r="N39" i="12"/>
  <c r="N83" i="12" s="1"/>
  <c r="O39" i="12"/>
  <c r="O83" i="12" s="1"/>
  <c r="P39" i="12"/>
  <c r="P83" i="12" s="1"/>
  <c r="Q39" i="12"/>
  <c r="Q83" i="12" s="1"/>
  <c r="R39" i="12"/>
  <c r="R83" i="12" s="1"/>
  <c r="S39" i="12"/>
  <c r="S83" i="12" s="1"/>
  <c r="C39" i="12"/>
  <c r="C83" i="12" s="1"/>
  <c r="T37" i="12"/>
  <c r="U37" i="12" s="1"/>
  <c r="T36" i="12"/>
  <c r="U36" i="12" s="1"/>
  <c r="T38" i="12"/>
  <c r="U38" i="12" s="1"/>
  <c r="G4" i="12"/>
  <c r="F4" i="12"/>
  <c r="F78" i="12" s="1"/>
  <c r="E4" i="12"/>
  <c r="D4" i="12"/>
  <c r="C4" i="12"/>
  <c r="C78" i="12" s="1"/>
  <c r="C80" i="12" s="1"/>
  <c r="D7" i="12"/>
  <c r="E7" i="12"/>
  <c r="F7" i="12"/>
  <c r="G7" i="12"/>
  <c r="H7" i="12"/>
  <c r="I7" i="12"/>
  <c r="J7" i="12"/>
  <c r="K7" i="12"/>
  <c r="L7" i="12"/>
  <c r="M7" i="12"/>
  <c r="O7" i="12"/>
  <c r="P7" i="12"/>
  <c r="S7" i="12"/>
  <c r="P5" i="12"/>
  <c r="P6" i="12"/>
  <c r="D83" i="12" l="1"/>
  <c r="D66" i="12"/>
  <c r="D68" i="12" s="1"/>
  <c r="D78" i="12"/>
  <c r="F79" i="12"/>
  <c r="F80" i="12"/>
  <c r="C66" i="12"/>
  <c r="C68" i="12" s="1"/>
  <c r="C79" i="12"/>
  <c r="E66" i="12"/>
  <c r="E68" i="12" s="1"/>
  <c r="E78" i="12"/>
  <c r="G74" i="12"/>
  <c r="G76" i="12" s="1"/>
  <c r="G78" i="12"/>
  <c r="C70" i="12"/>
  <c r="C72" i="12" s="1"/>
  <c r="D70" i="12"/>
  <c r="C74" i="12"/>
  <c r="C76" i="12" s="1"/>
  <c r="E74" i="12"/>
  <c r="E75" i="12" s="1"/>
  <c r="E77" i="12" s="1"/>
  <c r="D74" i="12"/>
  <c r="D75" i="12" s="1"/>
  <c r="D77" i="12" s="1"/>
  <c r="F74" i="12"/>
  <c r="F75" i="12" s="1"/>
  <c r="F77" i="12" s="1"/>
  <c r="G70" i="12"/>
  <c r="F70" i="12"/>
  <c r="E70" i="12"/>
  <c r="T51" i="12"/>
  <c r="G62" i="12"/>
  <c r="G64" i="12" s="1"/>
  <c r="F62" i="12"/>
  <c r="F64" i="12" s="1"/>
  <c r="E62" i="12"/>
  <c r="E64" i="12" s="1"/>
  <c r="C62" i="12"/>
  <c r="C64" i="12" s="1"/>
  <c r="D62" i="12"/>
  <c r="D64" i="12" s="1"/>
  <c r="G66" i="12"/>
  <c r="G68" i="12" s="1"/>
  <c r="F66" i="12"/>
  <c r="F68" i="12" s="1"/>
  <c r="T47" i="12"/>
  <c r="U47" i="12" s="1"/>
  <c r="T39" i="12"/>
  <c r="U39" i="12" s="1"/>
  <c r="Q13" i="12"/>
  <c r="Q24" i="12" s="1"/>
  <c r="R13" i="12"/>
  <c r="R24" i="12" s="1"/>
  <c r="S13" i="12"/>
  <c r="S24" i="12" s="1"/>
  <c r="S27" i="12" s="1"/>
  <c r="Q12" i="12"/>
  <c r="Q23" i="12" s="1"/>
  <c r="Q26" i="12" s="1"/>
  <c r="R12" i="12"/>
  <c r="R23" i="12" s="1"/>
  <c r="S12" i="12"/>
  <c r="S23" i="12" s="1"/>
  <c r="Q11" i="12"/>
  <c r="Q22" i="12" s="1"/>
  <c r="Q25" i="12" s="1"/>
  <c r="R11" i="12"/>
  <c r="R22" i="12" s="1"/>
  <c r="S11" i="12"/>
  <c r="S22" i="12" s="1"/>
  <c r="G79" i="12" l="1"/>
  <c r="G80" i="12"/>
  <c r="E79" i="12"/>
  <c r="E80" i="12"/>
  <c r="D79" i="12"/>
  <c r="D80" i="12"/>
  <c r="G75" i="12"/>
  <c r="G77" i="12" s="1"/>
  <c r="F76" i="12"/>
  <c r="E76" i="12"/>
  <c r="D76" i="12"/>
  <c r="B86" i="12"/>
  <c r="C75" i="12"/>
  <c r="C77" i="12" s="1"/>
  <c r="D72" i="12"/>
  <c r="D71" i="12"/>
  <c r="F72" i="12"/>
  <c r="F71" i="12"/>
  <c r="G72" i="12"/>
  <c r="G71" i="12"/>
  <c r="E72" i="12"/>
  <c r="E71" i="12"/>
  <c r="N4" i="12"/>
  <c r="N78" i="12" s="1"/>
  <c r="D13" i="12"/>
  <c r="D24" i="12" s="1"/>
  <c r="D27" i="12" s="1"/>
  <c r="E13" i="12"/>
  <c r="E24" i="12" s="1"/>
  <c r="E27" i="12" s="1"/>
  <c r="F13" i="12"/>
  <c r="F24" i="12" s="1"/>
  <c r="F27" i="12" s="1"/>
  <c r="G13" i="12"/>
  <c r="G24" i="12" s="1"/>
  <c r="G27" i="12" s="1"/>
  <c r="H13" i="12"/>
  <c r="H24" i="12" s="1"/>
  <c r="H27" i="12" s="1"/>
  <c r="I13" i="12"/>
  <c r="I24" i="12" s="1"/>
  <c r="I27" i="12" s="1"/>
  <c r="K13" i="12"/>
  <c r="K24" i="12" s="1"/>
  <c r="K27" i="12" s="1"/>
  <c r="M13" i="12"/>
  <c r="M24" i="12" s="1"/>
  <c r="M27" i="12" s="1"/>
  <c r="N13" i="12"/>
  <c r="N24" i="12" s="1"/>
  <c r="O13" i="12"/>
  <c r="O24" i="12" s="1"/>
  <c r="O27" i="12" s="1"/>
  <c r="P13" i="12"/>
  <c r="P24" i="12" s="1"/>
  <c r="P27" i="12" s="1"/>
  <c r="C13" i="12"/>
  <c r="C24" i="12" s="1"/>
  <c r="D12" i="12"/>
  <c r="D23" i="12" s="1"/>
  <c r="E12" i="12"/>
  <c r="E23" i="12" s="1"/>
  <c r="F12" i="12"/>
  <c r="F23" i="12" s="1"/>
  <c r="G12" i="12"/>
  <c r="G23" i="12" s="1"/>
  <c r="H12" i="12"/>
  <c r="H23" i="12" s="1"/>
  <c r="I12" i="12"/>
  <c r="I23" i="12" s="1"/>
  <c r="K12" i="12"/>
  <c r="K23" i="12" s="1"/>
  <c r="M12" i="12"/>
  <c r="M23" i="12" s="1"/>
  <c r="N12" i="12"/>
  <c r="N23" i="12" s="1"/>
  <c r="N26" i="12" s="1"/>
  <c r="O12" i="12"/>
  <c r="O23" i="12" s="1"/>
  <c r="P12" i="12"/>
  <c r="P23" i="12" s="1"/>
  <c r="P26" i="12" s="1"/>
  <c r="C12" i="12"/>
  <c r="C23" i="12" s="1"/>
  <c r="D11" i="12"/>
  <c r="D22" i="12" s="1"/>
  <c r="E11" i="12"/>
  <c r="E22" i="12" s="1"/>
  <c r="F11" i="12"/>
  <c r="F22" i="12" s="1"/>
  <c r="G11" i="12"/>
  <c r="G22" i="12" s="1"/>
  <c r="H11" i="12"/>
  <c r="H22" i="12" s="1"/>
  <c r="I11" i="12"/>
  <c r="I22" i="12" s="1"/>
  <c r="K11" i="12"/>
  <c r="K22" i="12" s="1"/>
  <c r="M11" i="12"/>
  <c r="M22" i="12" s="1"/>
  <c r="N11" i="12"/>
  <c r="N22" i="12" s="1"/>
  <c r="O11" i="12"/>
  <c r="O22" i="12" s="1"/>
  <c r="P11" i="12"/>
  <c r="P22" i="12" s="1"/>
  <c r="P25" i="12" s="1"/>
  <c r="C11" i="12"/>
  <c r="C22" i="12" s="1"/>
  <c r="J9" i="12"/>
  <c r="L9" i="12" s="1"/>
  <c r="L12" i="12" s="1"/>
  <c r="L23" i="12" s="1"/>
  <c r="J8" i="12"/>
  <c r="L8" i="12" s="1"/>
  <c r="L11" i="12" s="1"/>
  <c r="L22" i="12" s="1"/>
  <c r="J10" i="12"/>
  <c r="L10" i="12" s="1"/>
  <c r="L13" i="12" s="1"/>
  <c r="L24" i="12" s="1"/>
  <c r="L27" i="12" s="1"/>
  <c r="C14" i="12"/>
  <c r="D14" i="12"/>
  <c r="E14" i="12"/>
  <c r="F14" i="12"/>
  <c r="G14" i="12"/>
  <c r="I14" i="12"/>
  <c r="J14" i="12"/>
  <c r="K14" i="12"/>
  <c r="L14" i="12"/>
  <c r="M14" i="12"/>
  <c r="N14" i="12"/>
  <c r="O14" i="12"/>
  <c r="C15" i="12"/>
  <c r="D15" i="12"/>
  <c r="E15" i="12"/>
  <c r="G15" i="12"/>
  <c r="I15" i="12"/>
  <c r="J15" i="12"/>
  <c r="K15" i="12"/>
  <c r="M15" i="12"/>
  <c r="N15" i="12"/>
  <c r="O15" i="12"/>
  <c r="C16" i="12"/>
  <c r="D16" i="12"/>
  <c r="E16" i="12"/>
  <c r="F16" i="12"/>
  <c r="G16" i="12"/>
  <c r="H16" i="12"/>
  <c r="H18" i="12" s="1"/>
  <c r="H19" i="12" s="1"/>
  <c r="I16" i="12"/>
  <c r="J16" i="12"/>
  <c r="K16" i="12"/>
  <c r="L16" i="12"/>
  <c r="M16" i="12"/>
  <c r="N16" i="12"/>
  <c r="O16" i="12"/>
  <c r="N79" i="12" l="1"/>
  <c r="N80" i="12"/>
  <c r="N74" i="12"/>
  <c r="N70" i="12"/>
  <c r="N66" i="12"/>
  <c r="N68" i="12" s="1"/>
  <c r="N62" i="12"/>
  <c r="N64" i="12" s="1"/>
  <c r="H30" i="12"/>
  <c r="F18" i="12"/>
  <c r="F19" i="12" s="1"/>
  <c r="F30" i="12" s="1"/>
  <c r="J18" i="12"/>
  <c r="J19" i="12" s="1"/>
  <c r="K18" i="12"/>
  <c r="K19" i="12" s="1"/>
  <c r="K30" i="12" s="1"/>
  <c r="I18" i="12"/>
  <c r="I19" i="12" s="1"/>
  <c r="I30" i="12" s="1"/>
  <c r="O18" i="12"/>
  <c r="O19" i="12" s="1"/>
  <c r="O30" i="12" s="1"/>
  <c r="G18" i="12"/>
  <c r="G19" i="12" s="1"/>
  <c r="G30" i="12" s="1"/>
  <c r="N18" i="12"/>
  <c r="N19" i="12" s="1"/>
  <c r="N29" i="12" s="1"/>
  <c r="E18" i="12"/>
  <c r="E19" i="12" s="1"/>
  <c r="E30" i="12" s="1"/>
  <c r="D18" i="12"/>
  <c r="D19" i="12" s="1"/>
  <c r="D30" i="12" s="1"/>
  <c r="C18" i="12"/>
  <c r="C19" i="12" s="1"/>
  <c r="M18" i="12"/>
  <c r="M19" i="12" s="1"/>
  <c r="M30" i="12" s="1"/>
  <c r="L18" i="12"/>
  <c r="L19" i="12" s="1"/>
  <c r="L30" i="12" s="1"/>
  <c r="J12" i="12"/>
  <c r="J23" i="12" s="1"/>
  <c r="J11" i="12"/>
  <c r="J22" i="12" s="1"/>
  <c r="J13" i="12"/>
  <c r="J24" i="12" s="1"/>
  <c r="J27" i="12" s="1"/>
  <c r="N76" i="12" l="1"/>
  <c r="N75" i="12"/>
  <c r="N77" i="12" s="1"/>
  <c r="N72" i="12"/>
  <c r="N71" i="12"/>
  <c r="J30" i="12"/>
  <c r="S16" i="12" l="1"/>
  <c r="R16" i="12"/>
  <c r="Q16" i="12"/>
  <c r="P16" i="12"/>
  <c r="P30" i="12" s="1"/>
  <c r="S15" i="12"/>
  <c r="R15" i="12"/>
  <c r="Q15" i="12"/>
  <c r="P15" i="12"/>
  <c r="P29" i="12" s="1"/>
  <c r="S14" i="12"/>
  <c r="R14" i="12"/>
  <c r="Q14" i="12"/>
  <c r="Q28" i="12" s="1"/>
  <c r="P14" i="12"/>
  <c r="P28" i="12" s="1"/>
  <c r="P31" i="12" s="1"/>
  <c r="C7" i="12"/>
  <c r="D6" i="12"/>
  <c r="D26" i="12" s="1"/>
  <c r="D29" i="12" s="1"/>
  <c r="E6" i="12"/>
  <c r="E26" i="12" s="1"/>
  <c r="E29" i="12" s="1"/>
  <c r="G6" i="12"/>
  <c r="G26" i="12" s="1"/>
  <c r="G29" i="12" s="1"/>
  <c r="I6" i="12"/>
  <c r="I26" i="12" s="1"/>
  <c r="I29" i="12" s="1"/>
  <c r="J6" i="12"/>
  <c r="J26" i="12" s="1"/>
  <c r="J29" i="12" s="1"/>
  <c r="O6" i="12"/>
  <c r="O26" i="12" s="1"/>
  <c r="O29" i="12" s="1"/>
  <c r="S6" i="12"/>
  <c r="S26" i="12" s="1"/>
  <c r="C6" i="12"/>
  <c r="D5" i="12"/>
  <c r="D25" i="12" s="1"/>
  <c r="F5" i="12"/>
  <c r="F25" i="12" s="1"/>
  <c r="G5" i="12"/>
  <c r="G25" i="12" s="1"/>
  <c r="H5" i="12"/>
  <c r="H25" i="12" s="1"/>
  <c r="I5" i="12"/>
  <c r="I25" i="12" s="1"/>
  <c r="J5" i="12"/>
  <c r="J25" i="12" s="1"/>
  <c r="K5" i="12"/>
  <c r="K25" i="12" s="1"/>
  <c r="L5" i="12"/>
  <c r="L25" i="12" s="1"/>
  <c r="M5" i="12"/>
  <c r="M25" i="12" s="1"/>
  <c r="N5" i="12"/>
  <c r="N25" i="12" s="1"/>
  <c r="N28" i="12" s="1"/>
  <c r="O5" i="12"/>
  <c r="O25" i="12" s="1"/>
  <c r="R25" i="12"/>
  <c r="C5" i="12"/>
  <c r="T4" i="12"/>
  <c r="U4" i="12"/>
  <c r="V4" i="12"/>
  <c r="T14" i="12"/>
  <c r="U14" i="12" s="1"/>
  <c r="W21" i="12"/>
  <c r="U28" i="12"/>
  <c r="V28" i="12"/>
  <c r="L28" i="12" l="1"/>
  <c r="K28" i="12"/>
  <c r="H28" i="12"/>
  <c r="C27" i="12"/>
  <c r="C30" i="12" s="1"/>
  <c r="D28" i="12"/>
  <c r="D31" i="12" s="1"/>
  <c r="D81" i="12"/>
  <c r="M28" i="12"/>
  <c r="F28" i="12"/>
  <c r="F81" i="12"/>
  <c r="I28" i="12"/>
  <c r="I31" i="12" s="1"/>
  <c r="O28" i="12"/>
  <c r="O31" i="12" s="1"/>
  <c r="J28" i="12"/>
  <c r="J31" i="12" s="1"/>
  <c r="G28" i="12"/>
  <c r="G31" i="12" s="1"/>
  <c r="G81" i="12"/>
  <c r="S18" i="12"/>
  <c r="S19" i="12" s="1"/>
  <c r="S30" i="12" s="1"/>
  <c r="R18" i="12"/>
  <c r="R19" i="12" s="1"/>
  <c r="R28" i="12"/>
  <c r="C26" i="12"/>
  <c r="C29" i="12" s="1"/>
  <c r="C25" i="12"/>
  <c r="P18" i="12"/>
  <c r="P19" i="12" s="1"/>
  <c r="Q18" i="12"/>
  <c r="Q19" i="12" s="1"/>
  <c r="Q29" i="12" s="1"/>
  <c r="Q31" i="12" s="1"/>
  <c r="V14" i="12"/>
  <c r="T91" i="12"/>
  <c r="S4" i="12"/>
  <c r="S78" i="12" s="1"/>
  <c r="P4" i="12"/>
  <c r="P78" i="12" s="1"/>
  <c r="O4" i="12"/>
  <c r="O78" i="12" s="1"/>
  <c r="M4" i="12"/>
  <c r="M78" i="12" s="1"/>
  <c r="L4" i="12"/>
  <c r="L78" i="12" s="1"/>
  <c r="K4" i="12"/>
  <c r="K78" i="12" s="1"/>
  <c r="J4" i="12"/>
  <c r="J78" i="12" s="1"/>
  <c r="I4" i="12"/>
  <c r="I78" i="12" s="1"/>
  <c r="H4" i="12"/>
  <c r="H78" i="12" s="1"/>
  <c r="D67" i="12"/>
  <c r="D69" i="12" s="1"/>
  <c r="J79" i="12" l="1"/>
  <c r="J81" i="12" s="1"/>
  <c r="J80" i="12"/>
  <c r="M79" i="12"/>
  <c r="M81" i="12" s="1"/>
  <c r="M80" i="12"/>
  <c r="I79" i="12"/>
  <c r="I81" i="12" s="1"/>
  <c r="I80" i="12"/>
  <c r="K79" i="12"/>
  <c r="K81" i="12" s="1"/>
  <c r="K80" i="12"/>
  <c r="P79" i="12"/>
  <c r="P81" i="12" s="1"/>
  <c r="P80" i="12"/>
  <c r="L79" i="12"/>
  <c r="L81" i="12" s="1"/>
  <c r="L80" i="12"/>
  <c r="H79" i="12"/>
  <c r="H81" i="12" s="1"/>
  <c r="H80" i="12"/>
  <c r="O80" i="12"/>
  <c r="O79" i="12"/>
  <c r="O81" i="12" s="1"/>
  <c r="S79" i="12"/>
  <c r="S80" i="12"/>
  <c r="S29" i="12"/>
  <c r="C28" i="12"/>
  <c r="C31" i="12" s="1"/>
  <c r="H74" i="12"/>
  <c r="H70" i="12"/>
  <c r="M74" i="12"/>
  <c r="M70" i="12"/>
  <c r="M71" i="12" s="1"/>
  <c r="I74" i="12"/>
  <c r="I70" i="12"/>
  <c r="J74" i="12"/>
  <c r="J70" i="12"/>
  <c r="O74" i="12"/>
  <c r="O70" i="12"/>
  <c r="O71" i="12" s="1"/>
  <c r="K74" i="12"/>
  <c r="K70" i="12"/>
  <c r="K71" i="12" s="1"/>
  <c r="L74" i="12"/>
  <c r="L70" i="12"/>
  <c r="P74" i="12"/>
  <c r="P70" i="12"/>
  <c r="P71" i="12" s="1"/>
  <c r="S74" i="12"/>
  <c r="S70" i="12"/>
  <c r="Q4" i="12"/>
  <c r="K66" i="12"/>
  <c r="K62" i="12"/>
  <c r="K64" i="12" s="1"/>
  <c r="J66" i="12"/>
  <c r="J67" i="12" s="1"/>
  <c r="J62" i="12"/>
  <c r="J64" i="12" s="1"/>
  <c r="M6" i="12"/>
  <c r="M26" i="12" s="1"/>
  <c r="M29" i="12" s="1"/>
  <c r="M31" i="12" s="1"/>
  <c r="M66" i="12"/>
  <c r="M62" i="12"/>
  <c r="M64" i="12" s="1"/>
  <c r="H66" i="12"/>
  <c r="H68" i="12" s="1"/>
  <c r="H62" i="12"/>
  <c r="H64" i="12" s="1"/>
  <c r="I66" i="12"/>
  <c r="I68" i="12" s="1"/>
  <c r="I62" i="12"/>
  <c r="I64" i="12" s="1"/>
  <c r="L66" i="12"/>
  <c r="L68" i="12" s="1"/>
  <c r="L62" i="12"/>
  <c r="L64" i="12" s="1"/>
  <c r="O66" i="12"/>
  <c r="O67" i="12" s="1"/>
  <c r="O62" i="12"/>
  <c r="O64" i="12" s="1"/>
  <c r="P66" i="12"/>
  <c r="P62" i="12"/>
  <c r="P64" i="12" s="1"/>
  <c r="S66" i="12"/>
  <c r="S68" i="12" s="1"/>
  <c r="S62" i="12"/>
  <c r="S64" i="12" s="1"/>
  <c r="F67" i="12"/>
  <c r="F69" i="12" s="1"/>
  <c r="F6" i="12"/>
  <c r="H6" i="12"/>
  <c r="H26" i="12" s="1"/>
  <c r="H29" i="12" s="1"/>
  <c r="H31" i="12" s="1"/>
  <c r="L6" i="12"/>
  <c r="L26" i="12" s="1"/>
  <c r="L29" i="12" s="1"/>
  <c r="L31" i="12" s="1"/>
  <c r="E67" i="12"/>
  <c r="E69" i="12" s="1"/>
  <c r="E5" i="12"/>
  <c r="K6" i="12"/>
  <c r="K26" i="12" s="1"/>
  <c r="K29" i="12" s="1"/>
  <c r="K31" i="12" s="1"/>
  <c r="B84" i="12"/>
  <c r="C67" i="12"/>
  <c r="C69" i="12" s="1"/>
  <c r="G67" i="12"/>
  <c r="G69" i="12" s="1"/>
  <c r="R4" i="12" l="1"/>
  <c r="R78" i="12" s="1"/>
  <c r="Q78" i="12"/>
  <c r="C81" i="12"/>
  <c r="L76" i="12"/>
  <c r="L75" i="12"/>
  <c r="L77" i="12" s="1"/>
  <c r="O76" i="12"/>
  <c r="O75" i="12"/>
  <c r="O77" i="12" s="1"/>
  <c r="P75" i="12"/>
  <c r="P77" i="12" s="1"/>
  <c r="P76" i="12"/>
  <c r="K75" i="12"/>
  <c r="K77" i="12" s="1"/>
  <c r="K76" i="12"/>
  <c r="J76" i="12"/>
  <c r="J75" i="12"/>
  <c r="J77" i="12" s="1"/>
  <c r="Q74" i="12"/>
  <c r="Q70" i="12"/>
  <c r="I76" i="12"/>
  <c r="I75" i="12"/>
  <c r="I77" i="12" s="1"/>
  <c r="M75" i="12"/>
  <c r="M77" i="12" s="1"/>
  <c r="M76" i="12"/>
  <c r="S75" i="12"/>
  <c r="S77" i="12" s="1"/>
  <c r="S76" i="12"/>
  <c r="H76" i="12"/>
  <c r="H75" i="12"/>
  <c r="P63" i="12"/>
  <c r="P65" i="12" s="1"/>
  <c r="S72" i="12"/>
  <c r="S71" i="12"/>
  <c r="S73" i="12" s="1"/>
  <c r="J72" i="12"/>
  <c r="J71" i="12"/>
  <c r="L72" i="12"/>
  <c r="L71" i="12"/>
  <c r="H72" i="12"/>
  <c r="H71" i="12"/>
  <c r="I72" i="12"/>
  <c r="I71" i="12"/>
  <c r="S67" i="12"/>
  <c r="S69" i="12" s="1"/>
  <c r="S63" i="12"/>
  <c r="S65" i="12" s="1"/>
  <c r="Q66" i="12"/>
  <c r="Q62" i="12"/>
  <c r="H67" i="12"/>
  <c r="H69" i="12" s="1"/>
  <c r="I67" i="12"/>
  <c r="I69" i="12" s="1"/>
  <c r="L67" i="12"/>
  <c r="L69" i="12" s="1"/>
  <c r="K67" i="12"/>
  <c r="E25" i="12"/>
  <c r="E81" i="12" s="1"/>
  <c r="S5" i="12"/>
  <c r="S25" i="12" s="1"/>
  <c r="S81" i="12" s="1"/>
  <c r="F26" i="12"/>
  <c r="R26" i="12"/>
  <c r="W10" i="12"/>
  <c r="AA10" i="12" s="1"/>
  <c r="X10" i="12"/>
  <c r="W22" i="12"/>
  <c r="M67" i="12"/>
  <c r="P67" i="12"/>
  <c r="N67" i="12"/>
  <c r="N69" i="12" s="1"/>
  <c r="R62" i="12" l="1"/>
  <c r="R66" i="12"/>
  <c r="R68" i="12" s="1"/>
  <c r="R74" i="12"/>
  <c r="B74" i="12" s="1"/>
  <c r="B76" i="12" s="1"/>
  <c r="R70" i="12"/>
  <c r="Q80" i="12"/>
  <c r="Q79" i="12"/>
  <c r="Q81" i="12" s="1"/>
  <c r="R80" i="12"/>
  <c r="R79" i="12"/>
  <c r="R81" i="12" s="1"/>
  <c r="R76" i="12"/>
  <c r="R75" i="12"/>
  <c r="R77" i="12" s="1"/>
  <c r="Q75" i="12"/>
  <c r="Q77" i="12" s="1"/>
  <c r="Q76" i="12"/>
  <c r="H77" i="12"/>
  <c r="R72" i="12"/>
  <c r="R71" i="12"/>
  <c r="R73" i="12" s="1"/>
  <c r="Q72" i="12"/>
  <c r="Q71" i="12"/>
  <c r="Q73" i="12" s="1"/>
  <c r="Q64" i="12"/>
  <c r="Q63" i="12"/>
  <c r="Q65" i="12" s="1"/>
  <c r="R64" i="12"/>
  <c r="R63" i="12"/>
  <c r="R65" i="12" s="1"/>
  <c r="R29" i="12"/>
  <c r="F29" i="12"/>
  <c r="F31" i="12" s="1"/>
  <c r="S28" i="12"/>
  <c r="S31" i="12" s="1"/>
  <c r="E28" i="12"/>
  <c r="E31" i="12" s="1"/>
  <c r="X14" i="12"/>
  <c r="Y10" i="12" s="1"/>
  <c r="Z10" i="12" s="1"/>
  <c r="D73" i="12"/>
  <c r="G73" i="12"/>
  <c r="L73" i="12"/>
  <c r="H73" i="12"/>
  <c r="N73" i="12"/>
  <c r="I73" i="12"/>
  <c r="F73" i="12"/>
  <c r="E73" i="12"/>
  <c r="J73" i="12"/>
  <c r="B66" i="12"/>
  <c r="B68" i="12" s="1"/>
  <c r="J63" i="12"/>
  <c r="J65" i="12" s="1"/>
  <c r="L63" i="12"/>
  <c r="L65" i="12" s="1"/>
  <c r="F63" i="12"/>
  <c r="F65" i="12" s="1"/>
  <c r="B62" i="12"/>
  <c r="B64" i="12" s="1"/>
  <c r="C63" i="12"/>
  <c r="C65" i="12" s="1"/>
  <c r="E63" i="12"/>
  <c r="E65" i="12" s="1"/>
  <c r="I63" i="12"/>
  <c r="I65" i="12" s="1"/>
  <c r="H63" i="12"/>
  <c r="H65" i="12" s="1"/>
  <c r="B83" i="12"/>
  <c r="D63" i="12"/>
  <c r="D65" i="12" s="1"/>
  <c r="R67" i="12"/>
  <c r="R69" i="12" s="1"/>
  <c r="Q67" i="12"/>
  <c r="M63" i="12"/>
  <c r="M65" i="12" s="1"/>
  <c r="N63" i="12"/>
  <c r="N65" i="12" s="1"/>
  <c r="G63" i="12"/>
  <c r="G65" i="12" s="1"/>
  <c r="K63" i="12"/>
  <c r="K65" i="12" s="1"/>
  <c r="O63" i="12"/>
  <c r="O65" i="12" s="1"/>
  <c r="B75" i="12" l="1"/>
  <c r="B77" i="12" s="1"/>
  <c r="T29" i="12"/>
  <c r="T28" i="12"/>
  <c r="W28" i="12"/>
  <c r="C71" i="12"/>
  <c r="C73" i="12" s="1"/>
  <c r="B70" i="12"/>
  <c r="B72" i="12" s="1"/>
  <c r="B63" i="12"/>
  <c r="B65" i="12" s="1"/>
  <c r="B67" i="12"/>
  <c r="B69" i="12" s="1"/>
  <c r="B85" i="12" l="1"/>
  <c r="B71" i="12"/>
  <c r="B73" i="12" s="1"/>
  <c r="R27" i="12" l="1"/>
  <c r="R30" i="12" s="1"/>
  <c r="R31" i="12" s="1"/>
  <c r="N7" i="12"/>
  <c r="N27" i="12" l="1"/>
  <c r="N30" i="12" s="1"/>
  <c r="T30" i="12" s="1"/>
  <c r="Q27" i="12"/>
  <c r="T27" i="12" s="1"/>
  <c r="B78" i="12" l="1"/>
  <c r="B80" i="12" s="1"/>
  <c r="N31" i="12"/>
  <c r="T31" i="12" s="1"/>
  <c r="N81" i="12" l="1"/>
  <c r="B79" i="12"/>
  <c r="B81" i="12" l="1"/>
  <c r="B82"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<sst xmlns="http://schemas.openxmlformats.org/spreadsheetml/2006/main" count="10628" uniqueCount="1100">
  <si>
    <t>Details</t>
  </si>
  <si>
    <t>Total</t>
  </si>
  <si>
    <t>PCGB</t>
  </si>
  <si>
    <t>PD</t>
  </si>
  <si>
    <t>PKO</t>
  </si>
  <si>
    <t>POF</t>
  </si>
  <si>
    <t>PIT</t>
  </si>
  <si>
    <t>TRK</t>
  </si>
  <si>
    <t>PCL</t>
  </si>
  <si>
    <t>PIB SPA</t>
  </si>
  <si>
    <t>PNO</t>
  </si>
  <si>
    <t>PIB POR</t>
  </si>
  <si>
    <t>PCH</t>
  </si>
  <si>
    <t>PTW</t>
  </si>
  <si>
    <t>PCA</t>
  </si>
  <si>
    <t>PPL</t>
  </si>
  <si>
    <t>PJ</t>
  </si>
  <si>
    <t>PBR</t>
  </si>
  <si>
    <t>PCNA</t>
  </si>
  <si>
    <t>CPL</t>
  </si>
  <si>
    <t>Macan BEV</t>
  </si>
  <si>
    <t>-</t>
  </si>
  <si>
    <t>Cayenne E3 II</t>
  </si>
  <si>
    <t>25% von CTG</t>
  </si>
  <si>
    <t>Macan BEV (25%)</t>
  </si>
  <si>
    <t>Cayenne E3 II (25%)</t>
  </si>
  <si>
    <t>Cayenne E4 (25%)</t>
  </si>
  <si>
    <t>Planned sales</t>
  </si>
  <si>
    <t>Cayenne E4</t>
  </si>
  <si>
    <t>Planned sales from media</t>
  </si>
  <si>
    <t>Currently planned market media budget 2026</t>
  </si>
  <si>
    <t>Total media budget 2026</t>
  </si>
  <si>
    <t>Share of focus model lines in total media</t>
  </si>
  <si>
    <t>Difference to target value: 60% media in focus model lines</t>
  </si>
  <si>
    <t>Target value share of planned sales influenced by media</t>
  </si>
  <si>
    <t>Lead to Sales Rate</t>
  </si>
  <si>
    <t>Required Leads (Total)</t>
  </si>
  <si>
    <t>Required Media Budget</t>
  </si>
  <si>
    <t>Budget gap for 2026 (currently planned)</t>
  </si>
  <si>
    <t>Efficiency Recommendation  (CPL und L2S-Rate)</t>
  </si>
  <si>
    <t>Sales Gap Recommendation</t>
  </si>
  <si>
    <t>Macan, E4</t>
  </si>
  <si>
    <t>TOTAL</t>
  </si>
  <si>
    <t>TOTAL without PJ, PBR, PCNA</t>
  </si>
  <si>
    <t>Scenario 1 (Cover budget gaps)</t>
  </si>
  <si>
    <t>Scenario 2 (Efficiency Co Pilot)</t>
  </si>
  <si>
    <t>Scenario 3 (Efficiency)</t>
  </si>
  <si>
    <t>Scenario 4 (Coverage)</t>
  </si>
  <si>
    <t>Scenario 5 (Coverage after PHD check)</t>
  </si>
  <si>
    <t>Search</t>
  </si>
  <si>
    <t>All</t>
  </si>
  <si>
    <t>Social</t>
  </si>
  <si>
    <t>Leads Scenario 1 (Cover budget gaps)</t>
  </si>
  <si>
    <t>Sales Scenario 1 (Cover budget gaps)</t>
  </si>
  <si>
    <t>CPL Scenario</t>
  </si>
  <si>
    <t xml:space="preserve">CPS Scenario 1 </t>
  </si>
  <si>
    <t>Leads Scenario 2</t>
  </si>
  <si>
    <t>Sales Scenario 2</t>
  </si>
  <si>
    <t>CPL Scenario 2</t>
  </si>
  <si>
    <t>CPS Scenario 2</t>
  </si>
  <si>
    <t>Leads Scenario 3</t>
  </si>
  <si>
    <t>Sales Scenario 3</t>
  </si>
  <si>
    <t>CPL Scenario 3</t>
  </si>
  <si>
    <t>CPS Scenario 3</t>
  </si>
  <si>
    <t>Leads Scenario 4</t>
  </si>
  <si>
    <t>Sales Scenario 4</t>
  </si>
  <si>
    <t>CPL Scenario 4</t>
  </si>
  <si>
    <t>CPS Scenario 4</t>
  </si>
  <si>
    <t>Leads Scenario 5</t>
  </si>
  <si>
    <t>Sales Scenario 5</t>
  </si>
  <si>
    <t>CPL Scenario 5</t>
  </si>
  <si>
    <t>CPS Scenario 5</t>
  </si>
  <si>
    <t>ROMI</t>
  </si>
  <si>
    <t>Weekly budget Scenario 1 (16 weeks)</t>
  </si>
  <si>
    <t>Weekly budget Scenario 2  (16 weeks)</t>
  </si>
  <si>
    <t>Weekly budgeScenario 3 (16 weeks)</t>
  </si>
  <si>
    <t>Weekly budgeScenario 4 (20 weeks)</t>
  </si>
  <si>
    <t>Weekly budgeScenario 5 (20 weeks)</t>
  </si>
  <si>
    <t>TVC Budget allocation (Initial scenario)</t>
  </si>
  <si>
    <t>TVC Budget allocation (Scenario incl. PJ, BBR)</t>
  </si>
  <si>
    <t>Assumptions:</t>
  </si>
  <si>
    <t>For CPL and lead-to-sales rate for PJ/PBR, an average of comparable markets from CTG 1.0 was assumed</t>
  </si>
  <si>
    <t>Split TVC budget according to sales targets &amp; PHD potential calculation</t>
  </si>
  <si>
    <t>Budget reallocation only to Porsche subsidiaries</t>
  </si>
  <si>
    <t>Budget origin</t>
  </si>
  <si>
    <t>VMK Budget</t>
  </si>
  <si>
    <t>E4 HY1</t>
  </si>
  <si>
    <t>E4 HY2</t>
  </si>
  <si>
    <t>VM budget</t>
  </si>
  <si>
    <t>Total budget CTG 2.0</t>
  </si>
  <si>
    <t>Team PHD (Non working media)</t>
  </si>
  <si>
    <t>Total net media budget incl. PCNA, PJ, PBR</t>
  </si>
  <si>
    <t>Budget reallocation PCNA, PJ, PBR</t>
  </si>
  <si>
    <t>Working media</t>
  </si>
  <si>
    <t>Close the gap 2026</t>
  </si>
  <si>
    <t>Start</t>
  </si>
  <si>
    <t>Ende</t>
  </si>
  <si>
    <t>Google Ads</t>
  </si>
  <si>
    <t>Google Inventory Ads</t>
  </si>
  <si>
    <t>META Inventory Ads</t>
  </si>
  <si>
    <t>Paid Social</t>
  </si>
  <si>
    <t>📅 Zeitstrahl (Wochenansicht) – Measuren je Markt</t>
  </si>
  <si>
    <t>Legende (Baureihen):</t>
  </si>
  <si>
    <t>Markt: PCGB</t>
  </si>
  <si>
    <t>Markt: PCGB (Survey)</t>
  </si>
  <si>
    <t>Model</t>
  </si>
  <si>
    <t>CTG Measure</t>
  </si>
  <si>
    <t>CW18</t>
  </si>
  <si>
    <t>CW19</t>
  </si>
  <si>
    <t>CW20</t>
  </si>
  <si>
    <t>CW21</t>
  </si>
  <si>
    <t>CW22</t>
  </si>
  <si>
    <t>CW23</t>
  </si>
  <si>
    <t>CW24</t>
  </si>
  <si>
    <t>CW25</t>
  </si>
  <si>
    <t>CW26</t>
  </si>
  <si>
    <t>CW27</t>
  </si>
  <si>
    <t>CW28</t>
  </si>
  <si>
    <t>CW29</t>
  </si>
  <si>
    <t>CW30</t>
  </si>
  <si>
    <t>CW31</t>
  </si>
  <si>
    <t>CW32</t>
  </si>
  <si>
    <t>CW33</t>
  </si>
  <si>
    <t>CW34</t>
  </si>
  <si>
    <t>CW35</t>
  </si>
  <si>
    <t>Local Measure</t>
  </si>
  <si>
    <t>Channel</t>
  </si>
  <si>
    <t>Budget</t>
  </si>
  <si>
    <t>KPI</t>
  </si>
  <si>
    <t>Audience</t>
  </si>
  <si>
    <t>Always on</t>
  </si>
  <si>
    <t>Markt: PD</t>
  </si>
  <si>
    <t>Markt: PD (Survey)</t>
  </si>
  <si>
    <t>Macan H2</t>
  </si>
  <si>
    <t>20056448_20056448_POR_RNG_RNG_DEU_T1_NU_EUR_2025-12-31_2026-12-30_LOCAL-SEANATIONAL2026</t>
  </si>
  <si>
    <t>Dealer contact form submitted (DCFS)</t>
  </si>
  <si>
    <t>Keyword Targeting / see above</t>
  </si>
  <si>
    <t>20130912_20130912_POR_RNG_RNG_DEU_T1_NU_EUR_2026-02-22_2026-12-30_LOCAL-AOPROGRAMMATICPERFORMANCE2026</t>
  </si>
  <si>
    <t>Programmatic</t>
  </si>
  <si>
    <t>Complex Audience Setup including Prospecting LAL and Retargeting Audiences / see above</t>
  </si>
  <si>
    <t>20172604_20172604_POR_MAC_SUV_DEU_T1_NU_EUR_2026-02-20_2026-10-31_LOCAL-MACANDIENSTWAGENPUSH2026</t>
  </si>
  <si>
    <t>Social,Programmatic</t>
  </si>
  <si>
    <t>Model page visit,Dealer contact form submitted (DCFS)</t>
  </si>
  <si>
    <t>Business People with high income who look for a luxury company car / Retargeting on Macan Interest like Page Visitors or Dealer Contact Starters for a Macan</t>
  </si>
  <si>
    <t>185000 € (HY2 is not yet planned out but a separate budget is allocated for it)</t>
  </si>
  <si>
    <t>Complex Audience Setup including Prospecting and LAL and Retargeting Audiences / see above</t>
  </si>
  <si>
    <t>20205848_20205848_POR_CAY_SUV_DEU_T1_NU_EUR_2025-12-31_2026-12-30_LOCAL-CAYENNEE4CAYENNEFAMILY</t>
  </si>
  <si>
    <t>Configuration</t>
  </si>
  <si>
    <t>tbd / tbd</t>
  </si>
  <si>
    <t>Complex Audience Setup including Prosecting LAL and Retargeting Audiences / see above</t>
  </si>
  <si>
    <t>Markt: PKO</t>
  </si>
  <si>
    <t>Markt: PKO (Survey)</t>
  </si>
  <si>
    <t>H2 GTS</t>
  </si>
  <si>
    <t>Social,Search,Programmatic,Other Online Channel</t>
  </si>
  <si>
    <t>350,000,000KRW</t>
  </si>
  <si>
    <t>Configuration,Dealer contact form submitted (DCFS)</t>
  </si>
  <si>
    <t>Existing Buyers / All Strategic Target Groups</t>
  </si>
  <si>
    <t>E4 Pre Launch</t>
  </si>
  <si>
    <t>1,480,000,000KRW</t>
  </si>
  <si>
    <t>Impressions</t>
  </si>
  <si>
    <t>Existing Buyers / All strategic target groups</t>
  </si>
  <si>
    <t>E4 Coupe Launch</t>
  </si>
  <si>
    <t>500,000,000 KRW</t>
  </si>
  <si>
    <t>Markt: POF</t>
  </si>
  <si>
    <t>Markt: POF (Survey)</t>
  </si>
  <si>
    <t>Always on META (traffic and lead ad)</t>
  </si>
  <si>
    <t>40K€</t>
  </si>
  <si>
    <t>Impressions,Cost per Million (CPM),Click Through Rate (CTR),Model page visit,Configuration,Dealer contact form submitted (DCFS),Cost per Lead (CPL)</t>
  </si>
  <si>
    <t>LAL CAP database / RTG other campaigns and PCOM</t>
  </si>
  <si>
    <t>Always-on SEA</t>
  </si>
  <si>
    <t>81K€</t>
  </si>
  <si>
    <t>Model page visit,Configuration,Dealer contact form submitted (DCFS),Cost per Lead (CPL)</t>
  </si>
  <si>
    <t>NA / NA</t>
  </si>
  <si>
    <t>Always-on META (trafic and lead ad)</t>
  </si>
  <si>
    <t>40€ (same campaign (trafic and lead ad) for E3 II and E4 - we let the algorythm decide which creative asset to push depending on the audience)</t>
  </si>
  <si>
    <t>Dealer contact form submitted (DCFS),Cost Per Lead (CPL)</t>
  </si>
  <si>
    <t>40K€ budget for PHEV models (including E3II and Panamera)</t>
  </si>
  <si>
    <t>Always-on META (traffic and lead ad) &amp; SEA</t>
  </si>
  <si>
    <t>Social,Search</t>
  </si>
  <si>
    <t>45K€ for SEA and 40K€ for Cayenne META campaign trafic and lead ad (common to E3II and E4)</t>
  </si>
  <si>
    <t>Digital campaign (traffic and lead generation) via programmatic + DOOH</t>
  </si>
  <si>
    <t>Programmatic,Other Online Channel</t>
  </si>
  <si>
    <t>231K€</t>
  </si>
  <si>
    <t>Impressions,Cost per Million (CPM),Click Through Rate (CTR),Model page visit</t>
  </si>
  <si>
    <t>based on interests such as luxury goods travel new tech automotive entrepreneurship / NA</t>
  </si>
  <si>
    <t>Press campaign</t>
  </si>
  <si>
    <t>Other Online Channel</t>
  </si>
  <si>
    <t>Markt: PIT</t>
  </si>
  <si>
    <t>Markt: PIT (Survey)</t>
  </si>
  <si>
    <t>Campagna DCO</t>
  </si>
  <si>
    <t>Impressions,Dealer contact form submitted (DCFS)</t>
  </si>
  <si>
    <t>Custom adience / retargeting and cdp</t>
  </si>
  <si>
    <t>Custom affinity audience / Retargeting</t>
  </si>
  <si>
    <t>Cost per Million (CPM),Dealer contact form submitted (DCFS)</t>
  </si>
  <si>
    <t>Custom affinity audience / Retargeting audience</t>
  </si>
  <si>
    <t>Markt: TRK</t>
  </si>
  <si>
    <t>Markt: TRK (Survey)</t>
  </si>
  <si>
    <t>DCO Programmatic Macan Electric</t>
  </si>
  <si>
    <t>This campaign is still at the planning stage, the market budget allocation is not confirmed yet.</t>
  </si>
  <si>
    <t>Turkey website visitors and car configurator visitors / Performance and Luxury Vehicle Enthusiasts</t>
  </si>
  <si>
    <t>20168871_20168871_POR_CAY_SUV_CEE_T1_NU_EUR_2026-02-28_2026-09-29_LOCAL-DCOPROGRAMMATICCAYENNEELECTRIC-CAYENNE</t>
  </si>
  <si>
    <t>Turkey budget:  672,888 CZK</t>
  </si>
  <si>
    <t>Turkey website visitors and car configurator page visitors / Auto enthusiasts</t>
  </si>
  <si>
    <t>Markt: PCL</t>
  </si>
  <si>
    <t>Markt: PCL (Survey)</t>
  </si>
  <si>
    <t>Macan Family (ID: 20053156)</t>
  </si>
  <si>
    <t>Social,Search,Programmatic</t>
  </si>
  <si>
    <t>$1M CAD</t>
  </si>
  <si>
    <t>Impressions,Dealer contact form submitted (DCFS),Others, PF VDP view, Vehicle list saved, Contact form start, CPA, CPC</t>
  </si>
  <si>
    <t>Contextually target Conquesting EV intenders retarget META Ad Engagers Website Visitors and Initiate Checkout and View Content and Search Conversions Porsche Macan BEV  but excl Lead Conversion in the last ninety days / Brand protect and conquest Luxury and EV intenders</t>
  </si>
  <si>
    <t>Cayenne Family (ID: 20053155)</t>
  </si>
  <si>
    <t>$1.5M CAD</t>
  </si>
  <si>
    <t>Click Through Rate (CTR),Dealer contact form submitted (DCFS),Others, PF VDP view, PF save listing, Cost per acquisition, CPC</t>
  </si>
  <si>
    <t>Retarget audience who have not converted from Cayenne Electric also conquest and custom / Luxury car enthusiasts and EV intenders and affinity luxury</t>
  </si>
  <si>
    <t>E4 Launch (ID: 20053154)</t>
  </si>
  <si>
    <t>Social,Search,Programmatic,Other Online Channel, CTV, DOOH</t>
  </si>
  <si>
    <t>$460K CAD</t>
  </si>
  <si>
    <t>Impressions,Cost per Million (CPM),Click Through Rate (CTR),Others, Cost per Reach, Cost per video view,</t>
  </si>
  <si>
    <t>PRIZM Suburban middle aged families with an average household income x Urban older and mature families with an average household income of x and conquest / luxury SUV owners intenders</t>
  </si>
  <si>
    <t>Markt: PIB SPA</t>
  </si>
  <si>
    <t>Markt: PIB SPA (Survey)</t>
  </si>
  <si>
    <t>Always On SEM (Jan-Dec)</t>
  </si>
  <si>
    <t>50K</t>
  </si>
  <si>
    <t>primary / secondary</t>
  </si>
  <si>
    <t>Macan 4 Spirit Pack (Feb - May)</t>
  </si>
  <si>
    <t>Social,Programmatic,Other Online Channel, Brand Days</t>
  </si>
  <si>
    <t>225K</t>
  </si>
  <si>
    <t>Impressions,Cost per Million (CPM),Click Through Rate (CTR),Model page visit,Others, Lead generation &amp; order income</t>
  </si>
  <si>
    <t>Macan with Equipment Pack (September - October)</t>
  </si>
  <si>
    <t>15K (we will have DOOH as well with a big part of the investment)</t>
  </si>
  <si>
    <t>Impressions,Cost per Million (CPM),Click Through Rate (CTR),Model page visit,Others, Lead generation and order income</t>
  </si>
  <si>
    <t>Impressions,Click Through Rate (CTR),Model page visit</t>
  </si>
  <si>
    <t>Black Edition Campaign (March-August)</t>
  </si>
  <si>
    <t>Social,Search,Programmatic,Other Online Channel, Branded Content, YouTube, CTV, Cinemas</t>
  </si>
  <si>
    <t>200K</t>
  </si>
  <si>
    <t>Impressions,Cost per Million (CPM),Click Through Rate (CTR),Model page visit,Others, Lead &amp; incoming orders generation</t>
  </si>
  <si>
    <t>Impressions,Model page visit</t>
  </si>
  <si>
    <t>Cayenne Coupé TVC (May)</t>
  </si>
  <si>
    <t>Other Online Channel, CTV</t>
  </si>
  <si>
    <t>140K</t>
  </si>
  <si>
    <t>Cayenne Electric Launch Campaign (March - August)</t>
  </si>
  <si>
    <t>Social,Search,Programmatic,Other Online Channel, YouTube &amp; CTV</t>
  </si>
  <si>
    <t>150K</t>
  </si>
  <si>
    <t>Impressions,Cost per Million (CPM),Click Through Rate (CTR),Model page visit,Others, Lead conversion &amp; order income</t>
  </si>
  <si>
    <t>Markt: PNO</t>
  </si>
  <si>
    <t>Markt: PNO (Survey)</t>
  </si>
  <si>
    <t>Macan GTS</t>
  </si>
  <si>
    <t>Programmatic,Other Online Channel, Streaming TV</t>
  </si>
  <si>
    <t>676480 NOK</t>
  </si>
  <si>
    <t>Golfers / Financial newspapers</t>
  </si>
  <si>
    <t>Macan Norsk Utstyrspakke</t>
  </si>
  <si>
    <t>200000 NOK</t>
  </si>
  <si>
    <t>Retargeting of people interested in the Macan / Facebook lookalike group</t>
  </si>
  <si>
    <t>Cayenne 2026 launch</t>
  </si>
  <si>
    <t>650000 NOK</t>
  </si>
  <si>
    <t>Financial newspapers etc / General public</t>
  </si>
  <si>
    <t>Markt: PIB POR</t>
  </si>
  <si>
    <t>Markt: PIB POR (Survey)</t>
  </si>
  <si>
    <t>Kanal</t>
  </si>
  <si>
    <t>Spirit</t>
  </si>
  <si>
    <t>80K</t>
  </si>
  <si>
    <t>Impressions,Dealer contact form submitted (DCFS),Store visits</t>
  </si>
  <si>
    <t>Prospects / Customers</t>
  </si>
  <si>
    <t>Meta (PAG)</t>
  </si>
  <si>
    <t>20K</t>
  </si>
  <si>
    <t>Impressions,Cost per Million (CPM)</t>
  </si>
  <si>
    <t>POS</t>
  </si>
  <si>
    <t>Impressions,Model page visit,Configuration,Dealer contact form submitted (DCFS),Store visits</t>
  </si>
  <si>
    <t>TVC</t>
  </si>
  <si>
    <t>Social,Other Online Channel, TV and cinema</t>
  </si>
  <si>
    <t>45K</t>
  </si>
  <si>
    <t>Store visits,Others, visualizations</t>
  </si>
  <si>
    <t>Markt: PCH</t>
  </si>
  <si>
    <t>Markt: PCH (Survey)</t>
  </si>
  <si>
    <t>Additional digital campaign in september (no set up yet)</t>
  </si>
  <si>
    <t>Social,Other Online Channel, Display</t>
  </si>
  <si>
    <t>CHF 150'000.-</t>
  </si>
  <si>
    <t>Configuration,Dealer contact form submitted (DCFS),Cost per Lead (CPL)</t>
  </si>
  <si>
    <t>Strategic target groups / Excisting target group</t>
  </si>
  <si>
    <t>PlanIt-ID = 20057186 (different model types)</t>
  </si>
  <si>
    <t>CHF 100'000.-</t>
  </si>
  <si>
    <t>Model page visit,Configuration,Dealer contact form submitted (DCFS)</t>
  </si>
  <si>
    <t>Age targeting / Keywords</t>
  </si>
  <si>
    <t>Stragetic target groups / excisting targes group</t>
  </si>
  <si>
    <t>Model page visit,Configuration</t>
  </si>
  <si>
    <t>Age targeting / Key Words</t>
  </si>
  <si>
    <t>PlanIt-ID = 20161912</t>
  </si>
  <si>
    <t>Social,Search,Programmatic,Other Online Channel, CTV</t>
  </si>
  <si>
    <t>CHF 380'000.-</t>
  </si>
  <si>
    <t>Cost per Million (CPM),Click Through Rate (CTR),Model page visit,Cost per Lead (CPL)</t>
  </si>
  <si>
    <t>Strategic Target Groups / Exsiting Targes Group</t>
  </si>
  <si>
    <t>Markt: PTW</t>
  </si>
  <si>
    <t>Markt: PTW (Survey)</t>
  </si>
  <si>
    <t>always-on</t>
  </si>
  <si>
    <t>Social,Programmatic,Other Online Channel</t>
  </si>
  <si>
    <t>inmarket audience / retargeting and CDP</t>
  </si>
  <si>
    <t>Model page visit,Dealer contact form submitted (DCFS),Cost Per Lead (CPL)</t>
  </si>
  <si>
    <t>Inmarket audience / retargeting audience</t>
  </si>
  <si>
    <t>Markt: PCA</t>
  </si>
  <si>
    <t>Markt: PCA (Survey)</t>
  </si>
  <si>
    <t>20253810_20253810_POR_MAC_SUV_AUS_T1_NU_AUD_2026-04-26_2026-06-07_LOCAL-MACANGTSH12026-MACANGTSH12026</t>
  </si>
  <si>
    <t>People aged thirty five and over with a high net wealth</t>
  </si>
  <si>
    <t>20196850_20196850_POR_CAY_SUV_AUS_T2_NU_AUD_2026-03-01_2026-04-16_LOCAL-CAYENNEBLACKEDITIONH12026-CAYENNEBLACKEDITIONH12026</t>
  </si>
  <si>
    <t>People aged thirty five and over with High Net Wealth</t>
  </si>
  <si>
    <t>Markt: PPL</t>
  </si>
  <si>
    <t>Markt: PPL (Survey)</t>
  </si>
  <si>
    <t>Ongoing 2026 digital campaign starting in April, media incl.: Search &amp; Meta Inventory Ads</t>
  </si>
  <si>
    <t>593 300 PLN net</t>
  </si>
  <si>
    <t>TBU / TBU</t>
  </si>
  <si>
    <t>Q1 2026 digital campaign done, media incl.: YouTube, Demand Gen, Performance Max, Search, Meta, Display Ads,</t>
  </si>
  <si>
    <t>2 651 250 PLN net (media)</t>
  </si>
  <si>
    <t>Configuration,Cost Per Lead (CPL)</t>
  </si>
  <si>
    <t>TBC / TBC</t>
  </si>
  <si>
    <t>Markt: PBR</t>
  </si>
  <si>
    <t>Markt: PBR (Survey)</t>
  </si>
  <si>
    <t>Tactical Campaign: Nov to Dec</t>
  </si>
  <si>
    <t>10.661,77 EUR</t>
  </si>
  <si>
    <t>Impressions,Dealer contact form submitted (DCFS),Cost per Lead (CPL)</t>
  </si>
  <si>
    <t>Our Media agency uses its own platform that performs automatic segmentation to better identify and locate and filter the right audience which continuously adds clusters and targeting layers such as job titles and professions like entrepreneurs and doctors and lawyers and other high income professions combined with automated interest targeting in luxury and high value brands and products aligned with our own products and models / There is no secondary audience</t>
  </si>
  <si>
    <t>1st flight / Tactical Campaign (Fast Start): Jan to Mar</t>
  </si>
  <si>
    <t>Social,Search,Other Online Channel, Webmotors (Brazil’s largest automotive marketplace)</t>
  </si>
  <si>
    <t>20.782,75 EUR</t>
  </si>
  <si>
    <t>Impressions,Dealer contact form submitted (DCFS),Cost Per Lead (CPL)</t>
  </si>
  <si>
    <t>Our Media agency uses its own platform that performs automatic segmentation to better identify and locate and filter the right audience which continuously adds clusters and targeting layers such as job titles and professions like entrepreneurs and doctors and lawyers and other high income professions combined with automated interest targeting in luxury and high value brands and products aligned with our own products and models / There is no secondary audience considering the platform they use</t>
  </si>
  <si>
    <t>2nd flight / Tactical Campaign: Jun to Aug</t>
  </si>
  <si>
    <t>Social,Search,Programmatic,Other Online Channel, Webmotors - Brazil’s largest automotive marketplace</t>
  </si>
  <si>
    <t>27.908,96 EUR</t>
  </si>
  <si>
    <t>Cayenne Family: E3II + E4 (focus on lead generation)</t>
  </si>
  <si>
    <t>21.468,43 EUR</t>
  </si>
  <si>
    <t>Impressions,Click Through Rate (CTR),Dealer contact form submitted (DCFS),Cost per Lead (CPL)</t>
  </si>
  <si>
    <t>Launch Campaign: Jul to mid-Sep (Pre PoS), mid-Sep to Oct (PoS)</t>
  </si>
  <si>
    <t>65.629,73</t>
  </si>
  <si>
    <t>Impressions,Cost per Million (CPM),Click Through Rate (CTR),Model page visit,Dealer contact form submitted (DCFS),Cost per Lead (CPL)</t>
  </si>
  <si>
    <t>Markt: PCNA</t>
  </si>
  <si>
    <t>Markt: PCNA (Survey)</t>
  </si>
  <si>
    <t>Always On</t>
  </si>
  <si>
    <t>In Market / In Market</t>
  </si>
  <si>
    <t>CRM / Porsche Core</t>
  </si>
  <si>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</si>
  <si>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</si>
  <si>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</si>
  <si>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</si>
  <si>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</si>
  <si>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</si>
  <si>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</si>
  <si>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</si>
  <si>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</si>
  <si>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</si>
  <si>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</si>
  <si>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</si>
  <si>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</si>
  <si>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</si>
  <si>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</si>
  <si>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</si>
  <si>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</si>
  <si>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Market</t>
  </si>
  <si>
    <t>Campaign/ Model</t>
  </si>
  <si>
    <t>Campaign/ Model_1_TEXT</t>
  </si>
  <si>
    <t>Campaign/ Model_2_TEXT</t>
  </si>
  <si>
    <t>Campaign/ Model_3_TEXT</t>
  </si>
  <si>
    <t>Campaign/ Model_4_TEXT</t>
  </si>
  <si>
    <t>Campaign/ Model_5_TEXT</t>
  </si>
  <si>
    <t>Campaign/ Model_6_TEXT</t>
  </si>
  <si>
    <t>Campaign/ Model_7_TEXT</t>
  </si>
  <si>
    <t>Campaign/ Model_8_TEXT</t>
  </si>
  <si>
    <t>Campaign/ Model_9_TEXT</t>
  </si>
  <si>
    <t>Channel_1</t>
  </si>
  <si>
    <t>Channel_1_7_TEXT</t>
  </si>
  <si>
    <t>Business objective_1</t>
  </si>
  <si>
    <t>KPIs_1</t>
  </si>
  <si>
    <t>KPIs_1_12_TEXT</t>
  </si>
  <si>
    <t>Total budget_1</t>
  </si>
  <si>
    <t>Flight Date_1_1</t>
  </si>
  <si>
    <t>Flight Date_1_2</t>
  </si>
  <si>
    <t>Flexibility_1</t>
  </si>
  <si>
    <t>Audience_1_1</t>
  </si>
  <si>
    <t>Audience_1_2</t>
  </si>
  <si>
    <t>Audience_1.1_1</t>
  </si>
  <si>
    <t>Audience_1.1_2</t>
  </si>
  <si>
    <t>Audience_1.1_3</t>
  </si>
  <si>
    <t>Assets_1</t>
  </si>
  <si>
    <t>Channel_2</t>
  </si>
  <si>
    <t>Channel_2_7_TEXT</t>
  </si>
  <si>
    <t>Business objective_2</t>
  </si>
  <si>
    <t>KPIs_2</t>
  </si>
  <si>
    <t>KPIs_2_12_TEXT</t>
  </si>
  <si>
    <t>Total budget_2</t>
  </si>
  <si>
    <t>Flight Date_2_1</t>
  </si>
  <si>
    <t>Flight Date_2_2</t>
  </si>
  <si>
    <t>Flexibility_2</t>
  </si>
  <si>
    <t>Audience_2_1</t>
  </si>
  <si>
    <t>Audience_2_2</t>
  </si>
  <si>
    <t>Audience_2.1_1</t>
  </si>
  <si>
    <t>Audience_2.1_2</t>
  </si>
  <si>
    <t>Audience_2.1_3</t>
  </si>
  <si>
    <t>Assets_2</t>
  </si>
  <si>
    <t>Channel_3</t>
  </si>
  <si>
    <t>Channel_3_7_TEXT</t>
  </si>
  <si>
    <t>Business objective_3</t>
  </si>
  <si>
    <t>KPIs_3</t>
  </si>
  <si>
    <t>KPIs_3_12_TEXT</t>
  </si>
  <si>
    <t>Total budget_3</t>
  </si>
  <si>
    <t>Flight Date_3_1</t>
  </si>
  <si>
    <t>Flight Date_3_2</t>
  </si>
  <si>
    <t>Flexibility_3</t>
  </si>
  <si>
    <t>Audience_3_1</t>
  </si>
  <si>
    <t>Audience_3_2</t>
  </si>
  <si>
    <t>Audience_3.1_1</t>
  </si>
  <si>
    <t>Audience_3.1_2</t>
  </si>
  <si>
    <t>Audience_3.1_3</t>
  </si>
  <si>
    <t>Assets_3</t>
  </si>
  <si>
    <t>Channel_4</t>
  </si>
  <si>
    <t>Channel_4_7_TEXT</t>
  </si>
  <si>
    <t>Business objective_4</t>
  </si>
  <si>
    <t>KPIs_4</t>
  </si>
  <si>
    <t>KPIs_4_12_TEXT</t>
  </si>
  <si>
    <t>Total budget_4</t>
  </si>
  <si>
    <t>Flight Date_4_1</t>
  </si>
  <si>
    <t>Flight Date_4_2</t>
  </si>
  <si>
    <t>Flexibility_4</t>
  </si>
  <si>
    <t>Audience_4_1</t>
  </si>
  <si>
    <t>Audience_4_2</t>
  </si>
  <si>
    <t>Audience_4.1_1</t>
  </si>
  <si>
    <t>Audience_4.1_2</t>
  </si>
  <si>
    <t>Audience_4.1_3</t>
  </si>
  <si>
    <t>Assets_4</t>
  </si>
  <si>
    <t>Channel_5</t>
  </si>
  <si>
    <t>Channel_5_7_TEXT</t>
  </si>
  <si>
    <t>Business objective_5</t>
  </si>
  <si>
    <t>KPIs_5</t>
  </si>
  <si>
    <t>KPIs_5_12_TEXT</t>
  </si>
  <si>
    <t>Total budget_5</t>
  </si>
  <si>
    <t>Flight Date_5_1</t>
  </si>
  <si>
    <t>Flight Date_5_2</t>
  </si>
  <si>
    <t>Flexibility_5</t>
  </si>
  <si>
    <t>Audience_5_1</t>
  </si>
  <si>
    <t>Audience_5_2</t>
  </si>
  <si>
    <t>Audience_5.1_1</t>
  </si>
  <si>
    <t>Audience_5.1_2</t>
  </si>
  <si>
    <t>Audience_5.1_3</t>
  </si>
  <si>
    <t>Assets_5</t>
  </si>
  <si>
    <t>Channel_6</t>
  </si>
  <si>
    <t>Channel_6_7_TEXT</t>
  </si>
  <si>
    <t>Business objective_6</t>
  </si>
  <si>
    <t>KPIs_6</t>
  </si>
  <si>
    <t>KPIs_6_12_TEXT</t>
  </si>
  <si>
    <t>Total budget_6</t>
  </si>
  <si>
    <t>Flight Date_6_1</t>
  </si>
  <si>
    <t>Flight Date_6_2</t>
  </si>
  <si>
    <t>Flexibility_6</t>
  </si>
  <si>
    <t>Audience_6_1</t>
  </si>
  <si>
    <t>Audience_6_2</t>
  </si>
  <si>
    <t>Audience_6.1_1</t>
  </si>
  <si>
    <t>Audience_6.1_2</t>
  </si>
  <si>
    <t>Audience_6.1_3</t>
  </si>
  <si>
    <t>Assets_6</t>
  </si>
  <si>
    <t>Channel_7</t>
  </si>
  <si>
    <t>Channel_7_7_TEXT</t>
  </si>
  <si>
    <t>Business objective_7</t>
  </si>
  <si>
    <t>KPIs_7</t>
  </si>
  <si>
    <t>KPIs_7_12_TEXT</t>
  </si>
  <si>
    <t>Total budget_7</t>
  </si>
  <si>
    <t>Flight Date_7_1</t>
  </si>
  <si>
    <t>Flight Date_7_2</t>
  </si>
  <si>
    <t>Flexibility_7</t>
  </si>
  <si>
    <t>Audience_7_1</t>
  </si>
  <si>
    <t>Audience_7_2</t>
  </si>
  <si>
    <t>Audience_7.1_1</t>
  </si>
  <si>
    <t>Audience_7.1_2</t>
  </si>
  <si>
    <t>Audience_7.1_3</t>
  </si>
  <si>
    <t>Assets_7</t>
  </si>
  <si>
    <t>Channel_8</t>
  </si>
  <si>
    <t>Channel_8_7_TEXT</t>
  </si>
  <si>
    <t>Business objective_8</t>
  </si>
  <si>
    <t>KPIs_8</t>
  </si>
  <si>
    <t>KPIs_8_12_TEXT</t>
  </si>
  <si>
    <t>Total budget_8</t>
  </si>
  <si>
    <t>Flight Date_8_1</t>
  </si>
  <si>
    <t>Flight Date_8_2</t>
  </si>
  <si>
    <t>Flexibility_8</t>
  </si>
  <si>
    <t>Audience_8_1</t>
  </si>
  <si>
    <t>Audience_8_2</t>
  </si>
  <si>
    <t>Audience_8.1_1</t>
  </si>
  <si>
    <t>Audience_8.1_2</t>
  </si>
  <si>
    <t>Audience_8.1_3</t>
  </si>
  <si>
    <t>Assets_8</t>
  </si>
  <si>
    <t>Channel_9</t>
  </si>
  <si>
    <t>Channel_9_7_TEXT</t>
  </si>
  <si>
    <t>Business objective_9</t>
  </si>
  <si>
    <t>KPIs_9</t>
  </si>
  <si>
    <t>KPIs_9_12_TEXT</t>
  </si>
  <si>
    <t>Total budget_9</t>
  </si>
  <si>
    <t>Flight Date_9_1</t>
  </si>
  <si>
    <t>Flight Date_9_2</t>
  </si>
  <si>
    <t>Flexibility_9</t>
  </si>
  <si>
    <t>Audience_9_1</t>
  </si>
  <si>
    <t>Audience_9_2</t>
  </si>
  <si>
    <t>Audience_9.1_1</t>
  </si>
  <si>
    <t>Audience_9.1_2</t>
  </si>
  <si>
    <t>Audience_9.1_3</t>
  </si>
  <si>
    <t>Assets_9</t>
  </si>
  <si>
    <t>Feedback</t>
  </si>
  <si>
    <t>CURRENT_YEAR</t>
  </si>
  <si>
    <t>Q_DataPolicyViolations</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</si>
  <si>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</si>
  <si>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</si>
  <si>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</si>
  <si>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</si>
  <si>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</si>
  <si>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</si>
  <si>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</si>
  <si>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</si>
  <si>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</si>
  <si>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</si>
  <si>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</si>
  <si>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</si>
  <si>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</si>
  <si>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</si>
  <si>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Please select the market you are representing from the list below.</t>
  </si>
  <si>
    <t>Which campaigns do you use for the models listed below?
Please type in the campaign name you are using for the respective model. (If available, please use PlanIt naming convention) - Selected Choice</t>
  </si>
  <si>
    <t>Which campaigns do you use for the models listed below?
Please type in the campaign name you are using for the respective model. (If available, please use PlanIt naming convention) - Campaign 1 (Cayenne E3II): - Text</t>
  </si>
  <si>
    <t>Which campaigns do you use for the models listed below?
Please type in the campaign name you are using for the respective model. (If available, please use PlanIt naming convention) - Campaign 2 (Cayenne E3II): - Text</t>
  </si>
  <si>
    <t>Which campaigns do you use for the models listed below?
Please type in the campaign name you are using for the respective model. (If available, please use PlanIt naming convention) - Campaign 3 (Cayenne E3II): - Text</t>
  </si>
  <si>
    <t>Which campaigns do you use for the models listed below?
Please type in the campaign name you are using for the respective model. (If available, please use PlanIt naming convention) - Campaign 4 (Cayenne E4): - Text</t>
  </si>
  <si>
    <t>Which campaigns do you use for the models listed below?
Please type in the campaign name you are using for the respective model. (If available, please use PlanIt naming convention) - Campaign 5 (Cayenne E4): - Text</t>
  </si>
  <si>
    <t>Which campaigns do you use for the models listed below?
Please type in the campaign name you are using for the respective model. (If available, please use PlanIt naming convention) - Campaign 6 (Cayenne E4): - Text</t>
  </si>
  <si>
    <t>Which campaigns do you use for the models listed below?
Please type in the campaign name you are using for the respective model. (If available, please use PlanIt naming convention) - Campaign 7 (Macan H2): - Text</t>
  </si>
  <si>
    <t>Which campaigns do you use for the models listed below?
Please type in the campaign name you are using for the respective model. (If available, please use PlanIt naming convention) - Campaign 8 (Macan H2): - Text</t>
  </si>
  <si>
    <t>Which campaigns do you use for the models listed below?
Please type in the campaign name you are using for the respective model. (If available, please use PlanIt naming convention) - Campaign 9 (Macan H2): - Text</t>
  </si>
  <si>
    <t>Please select all the channels that apply for the campaign [QID62-ChoiceTextEntryValue-1] you have selected: - Selected Choice</t>
  </si>
  <si>
    <t>Please select all the channels that apply for the campaign [QID62-ChoiceTextEntryValue-1] you have selected: - Other Online Channel - Text</t>
  </si>
  <si>
    <t>Please select the business objective for the campaign [QID62-ChoiceTextEntryValue-1] you have selected:</t>
  </si>
  <si>
    <t>Please select the KPIs you are using for the campaign [QID62-ChoiceTextEntryValue-1] you have selected: - Selected Choice</t>
  </si>
  <si>
    <t>Please select the KPIs you are using for the campaign [QID62-ChoiceTextEntryValue-1] you have selected: - Others - Text</t>
  </si>
  <si>
    <t>Please type in the total budget you have allocated for the campaign [QID62-ChoiceTextEntryValue-1] you have selected:</t>
  </si>
  <si>
    <t>Please type in the Flight Start Date and the Flight End Date for the campaign [QID62-ChoiceTextEntryValue-1] you have selected: - Flight Start Date</t>
  </si>
  <si>
    <t>Please type in the Flight Start Date and the Flight End Date for the campaign [QID62-ChoiceTextEntryValue-1] you have selected: - Flight End Date</t>
  </si>
  <si>
    <t>Is this campaign [QID62-ChoiceTextEntryValue-1] you have selected flexible?</t>
  </si>
  <si>
    <t>Please type in the primary audience and the secondary audience for the campaign [QID62-ChoiceTextEntryValue-1] you have selected: - Primary Audience</t>
  </si>
  <si>
    <t>Please type in the primary audience and the secondary audience for the campaign [QID62-ChoiceTextEntryValue-1] you have selected: - Secondary Audience</t>
  </si>
  <si>
    <t>Please select if you have used specific audiences or included remarketing for the campaign [QID62-ChoiceTextEntryValue-1] you have selected: - Custom Audiences?</t>
  </si>
  <si>
    <t>Please select if you have used specific audiences or included remarketing for the campaign [QID62-ChoiceTextEntryValue-1] you have selected: - Lookalike/ Similar Audiences</t>
  </si>
  <si>
    <t>Please select if you have used specific audiences or included remarketing for the campaign [QID62-ChoiceTextEntryValue-1] you have selected: - Remarketing</t>
  </si>
  <si>
    <t>Do you have assets ready?</t>
  </si>
  <si>
    <t>Please select all the channels that apply the campaign [QID62-ChoiceTextEntryValue-2] you have selected: - Selected Choice</t>
  </si>
  <si>
    <t>Please select all the channels that apply the campaign [QID62-ChoiceTextEntryValue-2] you have selected: - Other Online Channel - Text</t>
  </si>
  <si>
    <t>Please select the business objective for the campaign [QID62-ChoiceTextEntryValue-2] you have selected:</t>
  </si>
  <si>
    <t>Please select the KPIs you are using for the campaign [QID62-ChoiceTextEntryValue-2] you have selected: - Selected Choice</t>
  </si>
  <si>
    <t>Please select the KPIs you are using for the campaign [QID62-ChoiceTextEntryValue-2] you have selected: - Others - Text</t>
  </si>
  <si>
    <t>Please type in the total budget you have allocated for the campaign [QID62-ChoiceTextEntryValue-2] you have selected:</t>
  </si>
  <si>
    <t>Please type in the Flight Start Date and the Flight End Date for the campaign [QID62-ChoiceTextEntryValue-2] you have selected: - Flight Start Date</t>
  </si>
  <si>
    <t>Please type in the Flight Start Date and the Flight End Date for the campaign [QID62-ChoiceTextEntryValue-2] you have selected: - Flight End Date</t>
  </si>
  <si>
    <t>Is this campaign [QID62-ChoiceTextEntryValue-2] you have selected flexible?</t>
  </si>
  <si>
    <t>Please type in the primary audience and the secondary audience for the campaign [QID62-ChoiceTextEntryValue-2] you have selected: - Primary Audience</t>
  </si>
  <si>
    <t>Please type in the primary audience and the secondary audience for the campaign [QID62-ChoiceTextEntryValue-2] you have selected: - Secondary Audience</t>
  </si>
  <si>
    <t>Please select if you have used specific audiences or included remarketing for the campaign [QID62-ChoiceTextEntryValue-2] you have selected: - Custom Audiences?</t>
  </si>
  <si>
    <t>Please select if you have used specific audiences or included remarketing for the campaign [QID62-ChoiceTextEntryValue-2] you have selected: - Lookalike/ Similar Audiences</t>
  </si>
  <si>
    <t>Please select if you have used specific audiences or included remarketing for the campaign [QID62-ChoiceTextEntryValue-2] you have selected: - Remarketing</t>
  </si>
  <si>
    <t>Please select all the channels that apply the campaign [QID62-ChoiceTextEntryValue-3] you have selected: - Selected Choice</t>
  </si>
  <si>
    <t>Please select all the channels that apply the campaign [QID62-ChoiceTextEntryValue-3] you have selected: - Other Online Channel - Text</t>
  </si>
  <si>
    <t>Please select the business objective for the campaign [QID62-ChoiceTextEntryValue-3] you have selected:</t>
  </si>
  <si>
    <t>Please select the KPIs you are using for the campaign [QID62-ChoiceTextEntryValue-3] you have selected: - Selected Choice</t>
  </si>
  <si>
    <t>Please select the KPIs you are using for the campaign [QID62-ChoiceTextEntryValue-3] you have selected: - Others - Text</t>
  </si>
  <si>
    <t>Please type in the total budget you have allocated for the campaign [QID62-ChoiceTextEntryValue-3] you have selected:</t>
  </si>
  <si>
    <t>Please type in the Flight Start Date and the Flight End Date for the campaign [QID62-ChoiceTextEntryValue-3] you have selected: - Flight Start Date</t>
  </si>
  <si>
    <t>Please type in the Flight Start Date and the Flight End Date for the campaign [QID62-ChoiceTextEntryValue-3] you have selected: - Flight End Date</t>
  </si>
  <si>
    <t>Is this campaign [QID62-ChoiceTextEntryValue-3] you have selected flexible?</t>
  </si>
  <si>
    <t>Please type in the primary audience and the secondary audience for the campaign [QID62-ChoiceTextEntryValue-3] you have selected: - Primary Audience</t>
  </si>
  <si>
    <t>Please type in the primary audience and the secondary audience for the campaign [QID62-ChoiceTextEntryValue-3] you have selected: - Secondary Audience</t>
  </si>
  <si>
    <t>Please select if you have used specific audiences or included remarketing for the campaign [QID62-ChoiceTextEntryValue-3] you have selected: - Custom Audiences?</t>
  </si>
  <si>
    <t>Please select if you have used specific audiences or included remarketing for the campaign [QID62-ChoiceTextEntryValue-3] you have selected: - Lookalike/ Similar Audiences</t>
  </si>
  <si>
    <t>Please select if you have used specific audiences or included remarketing for the campaign [QID62-ChoiceTextEntryValue-3] you have selected: - Remarketing</t>
  </si>
  <si>
    <t>Please select all the channels that apply the campaign [QID62-ChoiceTextEntryValue-4] you have selected: - Selected Choice</t>
  </si>
  <si>
    <t>Please select all the channels that apply the campaign [QID62-ChoiceTextEntryValue-4] you have selected: - Other Online Channel - Text</t>
  </si>
  <si>
    <t>Please select the business objective for the campaign [QID62-ChoiceTextEntryValue-4] you have selected:</t>
  </si>
  <si>
    <t>Please select the KPIs you are using for the campaign [QID62-ChoiceTextEntryValue-4] you have selected: - Selected Choice</t>
  </si>
  <si>
    <t>Please select the KPIs you are using for the campaign [QID62-ChoiceTextEntryValue-4] you have selected: - Others - Text</t>
  </si>
  <si>
    <t>Please type in the total budget you have allocated for the campaign [QID62-ChoiceTextEntryValue-4] you have selected:</t>
  </si>
  <si>
    <t>Please type in the Flight Start Date and the Flight End Date for the campaign [QID62-ChoiceTextEntryValue-4] you have selected: - Flight Start Date</t>
  </si>
  <si>
    <t>Please type in the Flight Start Date and the Flight End Date for the campaign [QID62-ChoiceTextEntryValue-4] you have selected: - Flight End Date</t>
  </si>
  <si>
    <t>Is this campaign [QID62-ChoiceTextEntryValue-4] you have selected flexible?</t>
  </si>
  <si>
    <t>Please type in the primary audience and the secondary audience for the campaign [QID62-ChoiceTextEntryValue-4] you have selected: - Primary Audience</t>
  </si>
  <si>
    <t>Please type in the primary audience and the secondary audience for the campaign [QID62-ChoiceTextEntryValue-4] you have selected: - Secondary Audience</t>
  </si>
  <si>
    <t>Please select if you have used specific audiences or included remarketing for the campaign [QID62-ChoiceTextEntryValue-4] you have selected: - Custom Audiences?</t>
  </si>
  <si>
    <t>Please select if you have used specific audiences or included remarketing for the campaign [QID62-ChoiceTextEntryValue-4] you have selected: - Lookalike/ Similar Audiences</t>
  </si>
  <si>
    <t>Please select if you have used specific audiences or included remarketing for the campaign [QID62-ChoiceTextEntryValue-4] you have selected: - Remarketing</t>
  </si>
  <si>
    <t>Please select all the channels that apply the campaign [QID62-ChoiceTextEntryValue-5] you have selected: - Selected Choice</t>
  </si>
  <si>
    <t>Please select all the channels that apply the campaign [QID62-ChoiceTextEntryValue-5] you have selected: - Other Online Channel - Text</t>
  </si>
  <si>
    <t>Please select the business objective for the campaign [QID62-ChoiceTextEntryValue-5] you have selected:</t>
  </si>
  <si>
    <t>Please select the KPIs you are using for the campaign [QID62-ChoiceTextEntryValue-5] you have selected: - Selected Choice</t>
  </si>
  <si>
    <t>Please select the KPIs you are using for the campaign [QID62-ChoiceTextEntryValue-5] you have selected: - Others - Text</t>
  </si>
  <si>
    <t>Please type in the total budget you have allocated for the campaign [QID62-ChoiceTextEntryValue-5] you have selected:</t>
  </si>
  <si>
    <t>Please type in the Flight Start Date and the Flight End Date for the campaign [QID62-ChoiceTextEntryValue-5] you have selected: - Flight Start Date</t>
  </si>
  <si>
    <t>Please type in the Flight Start Date and the Flight End Date for the campaign [QID62-ChoiceTextEntryValue-5] you have selected: - Flight End Date</t>
  </si>
  <si>
    <t>Is this campaign [QID62-ChoiceTextEntryValue-5] you have selected flexible?</t>
  </si>
  <si>
    <t>Please type in the primary audience and the secondary audience for the campaign [QID62-ChoiceTextEntryValue-5] you have selected: - Primary Audience</t>
  </si>
  <si>
    <t>Please type in the primary audience and the secondary audience for the campaign [QID62-ChoiceTextEntryValue-5] you have selected: - Secondary Audience</t>
  </si>
  <si>
    <t>Please select if you have used specific audiences or included remarketing for the campaign [QID62-ChoiceTextEntryValue-5] you have selected: - Custom Audiences?</t>
  </si>
  <si>
    <t>Please select if you have used specific audiences or included remarketing for the campaign [QID62-ChoiceTextEntryValue-5] you have selected: - Lookalike/ Similar Audiences</t>
  </si>
  <si>
    <t>Please select if you have used specific audiences or included remarketing for the campaign [QID62-ChoiceTextEntryValue-5] you have selected: - Remarketing</t>
  </si>
  <si>
    <t>Please select all the channels that apply the campaign [QID62-ChoiceTextEntryValue-6] you have selected: - Selected Choice</t>
  </si>
  <si>
    <t>Please select all the channels that apply the campaign [QID62-ChoiceTextEntryValue-6] you have selected: - Other Online Channel - Text</t>
  </si>
  <si>
    <t>Please select the business objective for the campaign [QID62-ChoiceTextEntryValue-6] you have selected:</t>
  </si>
  <si>
    <t>Please select the KPIs you are using for the campaign [QID62-ChoiceTextEntryValue-6] you have selected: - Selected Choice</t>
  </si>
  <si>
    <t>Please select the KPIs you are using for the campaign [QID62-ChoiceTextEntryValue-6] you have selected: - Others - Text</t>
  </si>
  <si>
    <t>Please type in the total budget you have allocated for the campaign [QID62-ChoiceTextEntryValue-6] you have selected:</t>
  </si>
  <si>
    <t>Please type in the Flight Start Date and the Flight End Date for the campaign [QID62-ChoiceTextEntryValue-6] you have selected: - Flight Start Date</t>
  </si>
  <si>
    <t>Please type in the Flight Start Date and the Flight End Date for the campaign [QID62-ChoiceTextEntryValue-6] you have selected: - Flight End Date</t>
  </si>
  <si>
    <t>Is this campaign [QID62-ChoiceTextEntryValue-6] you have selected flexible?</t>
  </si>
  <si>
    <t>Please type in the primary audience and the secondary audience for the campaign [QID62-ChoiceTextEntryValue-6] you have selected: - Primary Audience</t>
  </si>
  <si>
    <t>Please type in the primary audience and the secondary audience for the campaign [QID62-ChoiceTextEntryValue-6] you have selected: - Secondary Audience</t>
  </si>
  <si>
    <t>Please select if you have used specific audiences or included remarketing for the campaign [QID62-ChoiceTextEntryValue-6] you have selected: - Custom Audiences?</t>
  </si>
  <si>
    <t>Please select if you have used specific audiences or included remarketing for the campaign [QID62-ChoiceTextEntryValue-6] you have selected: - Lookalike/ Similar Audiences</t>
  </si>
  <si>
    <t>Please select if you have used specific audiences or included remarketing for the campaign [QID62-ChoiceTextEntryValue-6] you have selected: - Remarketing</t>
  </si>
  <si>
    <t>Please select all the channels that apply the campaign [QID62-ChoiceTextEntryValue-7] you have selected: - Selected Choice</t>
  </si>
  <si>
    <t>Please select all the channels that apply the campaign [QID62-ChoiceTextEntryValue-7] you have selected: - Other Online Channel - Text</t>
  </si>
  <si>
    <t>Please select the business objective for the campaign [QID62-ChoiceTextEntryValue-7] you have selected:</t>
  </si>
  <si>
    <t>Please select the KPIs you are using for the campaign [QID62-ChoiceTextEntryValue-7] you have selected: - Selected Choice</t>
  </si>
  <si>
    <t>Please select the KPIs you are using for the campaign [QID62-ChoiceTextEntryValue-7] you have selected: - Others - Text</t>
  </si>
  <si>
    <t>Please type in the total budget you have allocated for the campaign [QID62-ChoiceTextEntryValue-7] you have selected:</t>
  </si>
  <si>
    <t>Please type in the Flight Start Date and the Flight End Date for the campaign [QID62-ChoiceTextEntryValue-7] you have selected: - Flight Start Date</t>
  </si>
  <si>
    <t>Please type in the Flight Start Date and the Flight End Date for the campaign [QID62-ChoiceTextEntryValue-7] you have selected: - Flight End Date</t>
  </si>
  <si>
    <t>Is this campaign [QID62-ChoiceTextEntryValue-7] you have selected flexible?</t>
  </si>
  <si>
    <t>Please type in the primary audience and the secondary audience for the campaign [QID62-ChoiceTextEntryValue-7] you have selected: - Primary Audience</t>
  </si>
  <si>
    <t>Please type in the primary audience and the secondary audience for the campaign [QID62-ChoiceTextEntryValue-7] you have selected: - Secondary Audience</t>
  </si>
  <si>
    <t>Please select if you have used specific audiences or included remarketing for the campaign [QID62-ChoiceTextEntryValue-7] you have selected: - Custom Audiences?</t>
  </si>
  <si>
    <t>Please select if you have used specific audiences or included remarketing for the campaign [QID62-ChoiceTextEntryValue-7] you have selected: - Lookalike/ Similar Audiences</t>
  </si>
  <si>
    <t>Please select if you have used specific audiences or included remarketing for the campaign [QID62-ChoiceTextEntryValue-7] you have selected: - Remarketing</t>
  </si>
  <si>
    <t>Please select all the channels that apply the campaign [QID62-ChoiceTextEntryValue-8] you have selected: - Selected Choice</t>
  </si>
  <si>
    <t>Please select all the channels that apply the campaign [QID62-ChoiceTextEntryValue-8] you have selected: - Other Online Channel - Text</t>
  </si>
  <si>
    <t>Please select the business objective for the campaign [QID62-ChoiceTextEntryValue-8] you have selected:</t>
  </si>
  <si>
    <t>Please select the KPIs you are using for the campaign [QID62-ChoiceTextEntryValue-8] you have selected: - Selected Choice</t>
  </si>
  <si>
    <t>Please select the KPIs you are using for the campaign [QID62-ChoiceTextEntryValue-8] you have selected: - Others - Text</t>
  </si>
  <si>
    <t>Please type in the total budget you have allocated for the campaign [QID62-ChoiceTextEntryValue-8] you have selected:</t>
  </si>
  <si>
    <t>Please type in the Flight Start Date and the Flight End Date for the campaign [QID62-ChoiceTextEntryValue-8] you have selected: - Flight Start Date</t>
  </si>
  <si>
    <t>Please type in the Flight Start Date and the Flight End Date for the campaign [QID62-ChoiceTextEntryValue-8] you have selected: - Flight End Date</t>
  </si>
  <si>
    <t>Is this campaign [QID62-ChoiceTextEntryValue-8] you have selected flexible?</t>
  </si>
  <si>
    <t>Please type in the primary audience and the secondary audience for the campaign [QID62-ChoiceTextEntryValue-8] you have selected: - Primary Audience</t>
  </si>
  <si>
    <t>Please type in the primary audience and the secondary audience for the campaign [QID62-ChoiceTextEntryValue-8] you have selected: - Secondary Audience</t>
  </si>
  <si>
    <t>Please select if you have used specific audiences or included remarketing for the campaign [QID62-ChoiceTextEntryValue-8] you have selected: - Custom Audiences?</t>
  </si>
  <si>
    <t>Please select if you have used specific audiences or included remarketing for the campaign [QID62-ChoiceTextEntryValue-8] you have selected: - Lookalike/ Similar Audiences</t>
  </si>
  <si>
    <t>Please select if you have used specific audiences or included remarketing for the campaign [QID62-ChoiceTextEntryValue-8] you have selected: - Remarketing</t>
  </si>
  <si>
    <t>Please select all the channels that apply the campaign [QID62-ChoiceTextEntryValue-9] you have selected: - Selected Choice</t>
  </si>
  <si>
    <t>Please select all the channels that apply the campaign [QID62-ChoiceTextEntryValue-9] you have selected: - Other Online Channel - Text</t>
  </si>
  <si>
    <t>Please select the business objective for the campaign [QID62-ChoiceTextEntryValue-9] you have selected:</t>
  </si>
  <si>
    <t>Please select the KPIs you are using for the campaign [QID62-ChoiceTextEntryValue-9] you have selected: - Selected Choice</t>
  </si>
  <si>
    <t>Please select the KPIs you are using for the campaign [QID62-ChoiceTextEntryValue-9] you have selected: - Others - Text</t>
  </si>
  <si>
    <t>Please type in the total budget you have allocated for the campaign [QID62-ChoiceTextEntryValue-9] you have selected:</t>
  </si>
  <si>
    <t>Please type in the Flight Start Date and the Flight End Date for the campaign [QID62-ChoiceTextEntryValue-9] you have selected: - Flight Start Date</t>
  </si>
  <si>
    <t>Please type in the Flight Start Date and the Flight End Date for the campaign [QID62-ChoiceTextEntryValue-9] you have selected: - Flight End Date</t>
  </si>
  <si>
    <t>Is this campaign [QID62-ChoiceTextEntryValue-9] you have selected flexible?</t>
  </si>
  <si>
    <t>Please type in the primary audience and the secondary audience for the campaign [QID62-ChoiceTextEntryValue-9] you have selected: - Primary Audience</t>
  </si>
  <si>
    <t>Please type in the primary audience and the secondary audience for the campaign [QID62-ChoiceTextEntryValue-9] you have selected: - Secondary Audience</t>
  </si>
  <si>
    <t>Please select if you have used specific audiences or included remarketing for the campaign [QID62-ChoiceTextEntryValue-9] you have selected: - Custom Audiences?</t>
  </si>
  <si>
    <t>Please select if you have used specific audiences or included remarketing for the campaign [QID62-ChoiceTextEntryValue-9] you have selected: - Lookalike/ Similar Audiences</t>
  </si>
  <si>
    <t>Please select if you have used specific audiences or included remarketing for the campaign [QID62-ChoiceTextEntryValue-9] you have selected: - Remarketing</t>
  </si>
  <si>
    <t>Additional comments or feedback</t>
  </si>
  <si>
    <t>163.116.215.97</t>
  </si>
  <si>
    <t>True</t>
  </si>
  <si>
    <t>R_4Qm6t5493VGlEEy</t>
  </si>
  <si>
    <t/>
  </si>
  <si>
    <t>anonymous</t>
  </si>
  <si>
    <t>EN</t>
  </si>
  <si>
    <t>Campaign 1 (Cayenne E3II):,Campaign 7 (Macan H2):</t>
  </si>
  <si>
    <t>Awareness</t>
  </si>
  <si>
    <t>$141,841</t>
  </si>
  <si>
    <t>02/03/2026</t>
  </si>
  <si>
    <t>17/04/2026</t>
  </si>
  <si>
    <t>Yes</t>
  </si>
  <si>
    <t>Not applicable</t>
  </si>
  <si>
    <t>$27,341</t>
  </si>
  <si>
    <t>27/04/2026</t>
  </si>
  <si>
    <t>08/06/2026</t>
  </si>
  <si>
    <t>No</t>
  </si>
  <si>
    <t>2026</t>
  </si>
  <si>
    <t>84.14.20.227</t>
  </si>
  <si>
    <t>R_8X1fW9wfvCznl9n</t>
  </si>
  <si>
    <t>Campaign 1 (Cayenne E3II):,Campaign 2 (Cayenne E3II):,Campaign 4 (Cayenne E4):,Campaign 5 (Cayenne E4):,Campaign 6 (Cayenne E4):,Campaign 7 (Macan H2):,Campaign 8 (Macan H2):,Campaign 9 (Macan H2):</t>
  </si>
  <si>
    <t>Branded Content, YouTube, CTV, Cinemas</t>
  </si>
  <si>
    <t>Engagement,Conversion</t>
  </si>
  <si>
    <t>Impressions,Cost per Million (CPM),Click Through Rate (CTR),Model page visit,Others</t>
  </si>
  <si>
    <t>Lead &amp; incoming orders generation</t>
  </si>
  <si>
    <t>13/03/2026</t>
  </si>
  <si>
    <t>09/08/2026</t>
  </si>
  <si>
    <t>primary</t>
  </si>
  <si>
    <t>secondary</t>
  </si>
  <si>
    <t>Conversion</t>
  </si>
  <si>
    <t>01/01/2026</t>
  </si>
  <si>
    <t>31/12/2026</t>
  </si>
  <si>
    <t>YouTube &amp; CTV</t>
  </si>
  <si>
    <t>Awareness,Attraction,Engagement,Conversion</t>
  </si>
  <si>
    <t>Lead conversion &amp; order income</t>
  </si>
  <si>
    <t>16/03/2026</t>
  </si>
  <si>
    <t>CTV</t>
  </si>
  <si>
    <t>Awareness,Conversion</t>
  </si>
  <si>
    <t>03/05/2026</t>
  </si>
  <si>
    <t>03/06/2026</t>
  </si>
  <si>
    <t>Brand Days</t>
  </si>
  <si>
    <t>Lead generation &amp; order income</t>
  </si>
  <si>
    <t>12/02/2026</t>
  </si>
  <si>
    <t>10/05/2026</t>
  </si>
  <si>
    <t>Awareness,Engagement,Conversion</t>
  </si>
  <si>
    <t>Lead generation and order income</t>
  </si>
  <si>
    <t>15/09/2026</t>
  </si>
  <si>
    <t>15/11/2026</t>
  </si>
  <si>
    <t>We need to speak with our PHD Team about Audiences in order to complete the questionnarie</t>
  </si>
  <si>
    <t>217.192.62.33</t>
  </si>
  <si>
    <t>R_2FrobhtgIFhiXd8</t>
  </si>
  <si>
    <t>Campaign 4 (Cayenne E4):,Campaign 5 (Cayenne E4):,Campaign 6 (Cayenne E4):,Campaign 7 (Macan H2):,Campaign 8 (Macan H2):</t>
  </si>
  <si>
    <t>26.06.2026</t>
  </si>
  <si>
    <t>26.07.2026</t>
  </si>
  <si>
    <t>Strategic Target Groups</t>
  </si>
  <si>
    <t>Exsiting Targes Group</t>
  </si>
  <si>
    <t>01.01.2026</t>
  </si>
  <si>
    <t>31.12.2026</t>
  </si>
  <si>
    <t>Age targeting</t>
  </si>
  <si>
    <t>Key Words</t>
  </si>
  <si>
    <t>Social,Other Online Channel</t>
  </si>
  <si>
    <t>Display</t>
  </si>
  <si>
    <t>07.09.2026</t>
  </si>
  <si>
    <t>05.10.2026</t>
  </si>
  <si>
    <t>Stragetic target groups</t>
  </si>
  <si>
    <t>excisting targes group</t>
  </si>
  <si>
    <t>Keywords</t>
  </si>
  <si>
    <t>Strategic target groups</t>
  </si>
  <si>
    <t>Excisting target group</t>
  </si>
  <si>
    <t>62.101.125.121</t>
  </si>
  <si>
    <t>R_81sa7WxhWrVZi1v</t>
  </si>
  <si>
    <t>Campaign 4 (Cayenne E4):,Campaign 5 (Cayenne E4):,Campaign 7 (Macan H2):</t>
  </si>
  <si>
    <t>100.000€</t>
  </si>
  <si>
    <t>15/02/2026</t>
  </si>
  <si>
    <t>Custom affinity audience</t>
  </si>
  <si>
    <t>Retargeting audience</t>
  </si>
  <si>
    <t>Awareness,Engagement</t>
  </si>
  <si>
    <t>Retargeting</t>
  </si>
  <si>
    <t>190.000€</t>
  </si>
  <si>
    <t>Custom adience</t>
  </si>
  <si>
    <t>retargeting and cdp</t>
  </si>
  <si>
    <t>There is an error on the firts E4 Campaign, that one was related to the period nov 25-jan 26</t>
  </si>
  <si>
    <t>163.116.173.33</t>
  </si>
  <si>
    <t>R_2amLuZthLB8sfL7</t>
  </si>
  <si>
    <t>Campaign 1 (Cayenne E3II):,Campaign 2 (Cayenne E3II):,Campaign 3 (Cayenne E3II):,Campaign 4 (Cayenne E4):,Campaign 5 (Cayenne E4):,Campaign 6 (Cayenne E4):,Campaign 7 (Macan H2):,Campaign 8 (Macan H2):,Campaign 9 (Macan H2):</t>
  </si>
  <si>
    <t>23.02.2026</t>
  </si>
  <si>
    <t>30.06.2026</t>
  </si>
  <si>
    <t>Complex Audience Setup including Prospecting and LAL and Retargeting Audiences</t>
  </si>
  <si>
    <t>see above</t>
  </si>
  <si>
    <t>182500 €</t>
  </si>
  <si>
    <t>05.01.2026</t>
  </si>
  <si>
    <t>Keyword Targeting</t>
  </si>
  <si>
    <t>Attraction,Engagement</t>
  </si>
  <si>
    <t>70000 €</t>
  </si>
  <si>
    <t>18.05.2026</t>
  </si>
  <si>
    <t>28.06.2026</t>
  </si>
  <si>
    <t>tbd</t>
  </si>
  <si>
    <t>190000 €</t>
  </si>
  <si>
    <t>31.10.2026</t>
  </si>
  <si>
    <t>Complex Audience Setup including Prosecting LAL and Retargeting Audiences</t>
  </si>
  <si>
    <t>146000 €</t>
  </si>
  <si>
    <t>170000 €</t>
  </si>
  <si>
    <t>07.04.2026</t>
  </si>
  <si>
    <t>16.08.2026</t>
  </si>
  <si>
    <t>Business People with high income who look for a luxury company car</t>
  </si>
  <si>
    <t>Retargeting on Macan Interest like Page Visitors or Dealer Contact Starters for a Macan</t>
  </si>
  <si>
    <t>Complex Audience Setup including Prospecting LAL and Retargeting Audiences</t>
  </si>
  <si>
    <t xml:space="preserve">The AOPROGRAMMATICPERFORMANCE2026 campaign contains all three models and is already live and running. We made a mistake for the Macan, the runtime is also 23.02. - 31.10.2026 and it's not flexible.
The CAYENNEE4CAYENNEFAMILY campaign is not fully planned out yet for both models, so the info is still tbd right now. We had a Demand Gen Flight in mind, which could be planned out via CTG.
The MACANDIENSTWAGENPUSH2026 campaign is only focussing on a specific Macan configuration (&amp;lt;100.000€) as it now can be bought as a company car in Germany since last year, as we had a change in the tax laws. But only if it stays in the &amp;lt;100.000€ budget. </t>
  </si>
  <si>
    <t>165.85.12.42</t>
  </si>
  <si>
    <t>R_8RxClnSSoMpb4D2</t>
  </si>
  <si>
    <t xml:space="preserve">Q1 2026 digital campaign done, media incl.: YouTube, Demand Gen, Performance Max, Search, Meta, Display Ads, </t>
  </si>
  <si>
    <t>02/01/2026</t>
  </si>
  <si>
    <t>31/03/2026</t>
  </si>
  <si>
    <t>TBC</t>
  </si>
  <si>
    <t>10/04/2026</t>
  </si>
  <si>
    <t>TBU</t>
  </si>
  <si>
    <t>Regarding the audiences - let me confirm it with our PHD colleagues. Kindly ask you to follow up on it on emails. Thanks!</t>
  </si>
  <si>
    <t>46.27.76.178</t>
  </si>
  <si>
    <t>R_8ghXpShvcwYnCS4</t>
  </si>
  <si>
    <t>189.100.71.173</t>
  </si>
  <si>
    <t>R_37qmLMLFy4luUfL</t>
  </si>
  <si>
    <t>Campaign 1 (Cayenne E3II):,Campaign 2 (Cayenne E3II):,Campaign 3 (Cayenne E3II):,Campaign 4 (Cayenne E4):,Campaign 7 (Macan H2):</t>
  </si>
  <si>
    <t xml:space="preserve">1st flight / Tactical Campaign (Fast Start): Jan to Mar </t>
  </si>
  <si>
    <t xml:space="preserve">Tactical Campaign: Nov to Dec </t>
  </si>
  <si>
    <t>Social,Search,Other Online Channel</t>
  </si>
  <si>
    <t>Webmotors (Brazil’s largest automotive marketplace)</t>
  </si>
  <si>
    <t>13/01/2026</t>
  </si>
  <si>
    <t>Our Media agency uses its own platform that performs automatic segmentation to better identify and locate and filter the right audience which continuously adds clusters and targeting layers such as job titles and professions like entrepreneurs and doctors and lawyers and other high income professions combined with automated interest targeting in luxury and high value brands and products aligned with our own products and models</t>
  </si>
  <si>
    <t>There is no secondary audience considering the platform they use</t>
  </si>
  <si>
    <t>Webmotors - Brazil’s largest automotive marketplace</t>
  </si>
  <si>
    <t>05/06/2026</t>
  </si>
  <si>
    <t>31/08/2026</t>
  </si>
  <si>
    <t>There is no secondary audience</t>
  </si>
  <si>
    <t>Attraction,Conversion</t>
  </si>
  <si>
    <t>06/11/2026</t>
  </si>
  <si>
    <t>22/12/2026</t>
  </si>
  <si>
    <t>Awareness,Attraction,Conversion</t>
  </si>
  <si>
    <t>06/07/2026</t>
  </si>
  <si>
    <t>31/10/2026</t>
  </si>
  <si>
    <t>PBR is running a bidding process to hire a new media agency. We are considering Viktoria Moncher (VMK4) recommendations in terms of agencies groups (looking for local representatives) and also other local vendors. By the way, Omnicom is part of this bidding. Our plans is to implement this new media agency in the end of July, which means that all media plans for 2nd semester are going to be revised (when applied) as well as developed.</t>
  </si>
  <si>
    <t>142.188.132.195</t>
  </si>
  <si>
    <t>R_7GJRPbE5VJghRBo</t>
  </si>
  <si>
    <t>Campaign 1 (Cayenne E3II):,Campaign 4 (Cayenne E4):,Campaign 7 (Macan H2):</t>
  </si>
  <si>
    <t>Click Through Rate (CTR),Dealer contact form submitted (DCFS),Others</t>
  </si>
  <si>
    <t>PF VDP view, PF save listing, Cost per acquisition, CPC</t>
  </si>
  <si>
    <t xml:space="preserve">Retarget audience who have not converted from Cayenne Electric also conquest and custom </t>
  </si>
  <si>
    <t>Luxury car enthusiasts and EV intenders and affinity luxury</t>
  </si>
  <si>
    <t>CTV, DOOH</t>
  </si>
  <si>
    <t>Awareness,Attraction</t>
  </si>
  <si>
    <t>Impressions,Cost per Million (CPM),Click Through Rate (CTR),Others</t>
  </si>
  <si>
    <t xml:space="preserve">Cost per Reach, Cost per video view, </t>
  </si>
  <si>
    <t>30/04/2026</t>
  </si>
  <si>
    <t>PRIZM Suburban middle aged families with an average household income x Urban older and mature families with an average household income of x and conquest</t>
  </si>
  <si>
    <t>luxury SUV owners intenders</t>
  </si>
  <si>
    <t>Impressions,Dealer contact form submitted (DCFS),Others</t>
  </si>
  <si>
    <t>PF VDP view, Vehicle list saved, Contact form start, CPA, CPC</t>
  </si>
  <si>
    <t>20/04/2026</t>
  </si>
  <si>
    <t>31/07/2026</t>
  </si>
  <si>
    <t>Contextually target Conquesting EV intenders retarget META Ad Engagers Website Visitors and Initiate Checkout and View Content and Search Conversions Porsche Macan BEV  but excl Lead Conversion in the last ninety days</t>
  </si>
  <si>
    <t>Brand protect and conquest Luxury and EV intenders</t>
  </si>
  <si>
    <t>148.71.64.136</t>
  </si>
  <si>
    <t>R_8PiBNvYjQID5wy2</t>
  </si>
  <si>
    <t>Campaign 4 (Cayenne E4):,Campaign 5 (Cayenne E4):,Campaign 6 (Cayenne E4):,Campaign 7 (Macan H2):</t>
  </si>
  <si>
    <t>05/05/2026</t>
  </si>
  <si>
    <t>31/05/2026</t>
  </si>
  <si>
    <t>Prospects</t>
  </si>
  <si>
    <t xml:space="preserve">Customers </t>
  </si>
  <si>
    <t>TV and cinema</t>
  </si>
  <si>
    <t>Store visits,Others</t>
  </si>
  <si>
    <t>visualizations</t>
  </si>
  <si>
    <t>01/06/2026</t>
  </si>
  <si>
    <t>15/06/2026</t>
  </si>
  <si>
    <t>Customers</t>
  </si>
  <si>
    <t>Engagement</t>
  </si>
  <si>
    <t>01/07/2026</t>
  </si>
  <si>
    <t>23/02/2026</t>
  </si>
  <si>
    <t>The Macan Spirit Campaign is already terminated, but included so to have the broad view of all planed/done campaigns for 2026.</t>
  </si>
  <si>
    <t>130.41.185.4</t>
  </si>
  <si>
    <t>R_8TQPsFb1U8LYfoE</t>
  </si>
  <si>
    <t>Campaign 4 (Cayenne E4):,Campaign 7 (Macan H2):,Campaign 8 (Macan H2):</t>
  </si>
  <si>
    <t>26/01/2026</t>
  </si>
  <si>
    <t>Financial newspapers etc</t>
  </si>
  <si>
    <t>General public</t>
  </si>
  <si>
    <t>Streaming TV</t>
  </si>
  <si>
    <t>11/02/2026</t>
  </si>
  <si>
    <t>06/03/2026</t>
  </si>
  <si>
    <t>Golfers</t>
  </si>
  <si>
    <t>Financial newspapers</t>
  </si>
  <si>
    <t>01/04/2026</t>
  </si>
  <si>
    <t>Retargeting of people interested in the Macan</t>
  </si>
  <si>
    <t>Facebook lookalike group</t>
  </si>
  <si>
    <t xml:space="preserve">Keep in mind that we do not operate only on a campaign basis. In some cases activities are part of an 'always on' effort. In that regards, this form of reporting can tricky to assess properly. </t>
  </si>
  <si>
    <t>163.116.244.76</t>
  </si>
  <si>
    <t>R_8kpGtPUL6FkpoEP</t>
  </si>
  <si>
    <t>Campaign 4 (Cayenne E4):,Campaign 7 (Macan H2):</t>
  </si>
  <si>
    <t xml:space="preserve"> 20168871_20168871_POR_CAY_SUV_CEE_T1_NU_EUR_2026-02-28_2026-09-29_LOCAL-DCOPROGRAMMATICCAYENNEELECTRIC-CAYENNE</t>
  </si>
  <si>
    <t>02.03.2026</t>
  </si>
  <si>
    <t>30.09.2026</t>
  </si>
  <si>
    <t>Turkey website visitors and car configurator page visitors</t>
  </si>
  <si>
    <t>Auto enthusiasts</t>
  </si>
  <si>
    <t>Turkey website visitors and car configurator visitors</t>
  </si>
  <si>
    <t>Performance and Luxury Vehicle Enthusiasts</t>
  </si>
  <si>
    <t>175.98.128.66</t>
  </si>
  <si>
    <t>R_90Ojre6ZXi3jL2t</t>
  </si>
  <si>
    <t>local DSP</t>
  </si>
  <si>
    <t>186849</t>
  </si>
  <si>
    <t>01 01 2026</t>
  </si>
  <si>
    <t>31 12 2026</t>
  </si>
  <si>
    <t>Inmarket audience</t>
  </si>
  <si>
    <t>retargeting audience</t>
  </si>
  <si>
    <t>inmarket audience</t>
  </si>
  <si>
    <t>retargeting and CDP</t>
  </si>
  <si>
    <t>Local DSP</t>
  </si>
  <si>
    <t>186240</t>
  </si>
  <si>
    <t>208.127.2.117</t>
  </si>
  <si>
    <t>False</t>
  </si>
  <si>
    <t>R_2R1x2MdVY2MMsMK</t>
  </si>
  <si>
    <t>Campaign 1 (Cayenne E3II):,Campaign 2 (Cayenne E3II):,Campaign 3 (Cayenne E3II):,Campaign 7 (Macan H2):</t>
  </si>
  <si>
    <t>test</t>
  </si>
  <si>
    <t xml:space="preserve">test </t>
  </si>
  <si>
    <t>81.252.0.43</t>
  </si>
  <si>
    <t>R_87y9NdrTGRomOb1</t>
  </si>
  <si>
    <t>Campaign 1 (Cayenne E3II):,Campaign 2 (Cayenne E3II):,Campaign 4 (Cayenne E4):,Campaign 5 (Cayenne E4):,Campaign 6 (Cayenne E4):,Campaign 7 (Macan H2):,Campaign 8 (Macan H2):</t>
  </si>
  <si>
    <t xml:space="preserve">Always-on SEA </t>
  </si>
  <si>
    <t xml:space="preserve">Press campaign </t>
  </si>
  <si>
    <t xml:space="preserve">LAL CAP database </t>
  </si>
  <si>
    <t>RTG other campaigns and PCOM</t>
  </si>
  <si>
    <t>NA</t>
  </si>
  <si>
    <t>LAL CAP database</t>
  </si>
  <si>
    <t>print magazines (lifestyle, news, travel, automotive...)</t>
  </si>
  <si>
    <t>166</t>
  </si>
  <si>
    <t>01/03/2026</t>
  </si>
  <si>
    <t>30/06/2026</t>
  </si>
  <si>
    <t xml:space="preserve">DOOH </t>
  </si>
  <si>
    <t>Awareness,Attraction,Engagement</t>
  </si>
  <si>
    <t>20/03/2026</t>
  </si>
  <si>
    <t>07/06/2026</t>
  </si>
  <si>
    <t>based on interests such as luxury goods travel new tech automotive entrepreneurship</t>
  </si>
  <si>
    <t>176.3.212.20</t>
  </si>
  <si>
    <t>R_8nV4nCEoMxjrxQZ</t>
  </si>
  <si>
    <t>qr</t>
  </si>
  <si>
    <t>134.238.83.212</t>
  </si>
  <si>
    <t>R_2pgOcmOxMERZqZO</t>
  </si>
  <si>
    <t>Campaign 1 (Cayenne E3II):</t>
  </si>
  <si>
    <t>R_2TGkhdlxCPA5zDL</t>
  </si>
  <si>
    <t>Always on Search</t>
  </si>
  <si>
    <t>170.200.144.4</t>
  </si>
  <si>
    <t>R_3rxMYKcm87gYjJv</t>
  </si>
  <si>
    <t>7500000</t>
  </si>
  <si>
    <t>CRM</t>
  </si>
  <si>
    <t>Porsche Core</t>
  </si>
  <si>
    <t>1000000</t>
  </si>
  <si>
    <t xml:space="preserve">In Market </t>
  </si>
  <si>
    <t>In Market</t>
  </si>
  <si>
    <t>750000</t>
  </si>
  <si>
    <t>400000</t>
  </si>
  <si>
    <t>500000</t>
  </si>
  <si>
    <t xml:space="preserve">Spend allocations to models are rough estimates. The Always On campaign investment skews heavily in favor of search, which is a demand based platform and specific spend allocations will fluctuate based on search volume. Spend was forecasted out for the full year based on existing model weight priorities, which are subject to change. </t>
  </si>
  <si>
    <t>84.72.196.39</t>
  </si>
  <si>
    <t>R_8gcMtZEJlRXs71v</t>
  </si>
  <si>
    <t>163.116.173.28</t>
  </si>
  <si>
    <t>R_2saC1U21lljh6OH</t>
  </si>
  <si>
    <t>60.240.234.66</t>
  </si>
  <si>
    <t>R_4pnG9lTA6ybMXBU</t>
  </si>
  <si>
    <t>163.116.194.24</t>
  </si>
  <si>
    <t>R_93Tsc2hS5Wnx4b5</t>
  </si>
  <si>
    <t>126.79.134.8</t>
  </si>
  <si>
    <t>R_4CCAYHSURwjkMuO</t>
  </si>
  <si>
    <t>118.235.4.235</t>
  </si>
  <si>
    <t>R_9D7drU9w6WS6Kmv</t>
  </si>
  <si>
    <t>61.97.42.243</t>
  </si>
  <si>
    <t>R_4FRqQRB2q1TIBwx</t>
  </si>
  <si>
    <t>Campaign 5 (Cayenne E4):</t>
  </si>
  <si>
    <t>TEST</t>
  </si>
  <si>
    <t>R_8cACAcy00ECmTWA</t>
  </si>
  <si>
    <t>104.28.88.130</t>
  </si>
  <si>
    <t>R_28G2ov4h8YAanEi</t>
  </si>
  <si>
    <t>163.116.173.76</t>
  </si>
  <si>
    <t>R_8JWTNqE6MnUbtfP</t>
  </si>
  <si>
    <t>84.21.42.1</t>
  </si>
  <si>
    <t>R_7EgJ8bpxlHplpk6</t>
  </si>
  <si>
    <t>86.49.228.18</t>
  </si>
  <si>
    <t>R_8DOOY8WXPpQEOad</t>
  </si>
  <si>
    <t>DCO Programmatic Campaign</t>
  </si>
  <si>
    <t>163.116.175.106</t>
  </si>
  <si>
    <t>R_2Fu0sAa5A9niNeF</t>
  </si>
  <si>
    <t>134.238.83.221</t>
  </si>
  <si>
    <t>R_21L8ZmblmwkWJvC</t>
  </si>
  <si>
    <t>Cayenne - Programmatic Video und IBV  Planit Campaign String: 20130912_20130912_POR_RNG_RNG_DEU_T1_NU_EUR_2026-02-22_2026-12-30_LOCAL-AOPROGRAMMATICPERFORMANCE2026  Budget: 185.000 €</t>
  </si>
  <si>
    <t>Cayenne – SEA  Planit Campaign String:  20056448_20056448_POR_RNG_RNG_DEU_T1_NU_EUR_2025-12-31_2026-12-30_LOCAL-SEANATIONAL2026  Budget: 182.500 €</t>
  </si>
  <si>
    <t>PLANNED: Cayenne – Demand Gen  Planit Campaign String: 20205848_20205848_POR_CAY_SUV_DEU_T1_NU_EUR_2025-12-31_2026-12-30_LOCAL-CAYENNEE4CAYENNEFAMILY  Budget: 70.000 €</t>
  </si>
  <si>
    <t xml:space="preserve">Cayenne - Programmatic Video und IBV  Planit Campaign String: 20130912_20130912_POR_RNG_RNG_DEU_T1_NU_EUR_2026-02-22_2026-12-30_LOCAL-AOPROGRAMMATICPERFORMANCE2026  Budget: 190.000 €   </t>
  </si>
  <si>
    <t>Cayenne – SEA  Planit Campaign String: 20056448_20056448_POR_RNG_RNG_DEU_T1_NU_EUR_2025-12-31_2026-12-30_LOCAL-SEANATIONAL2026  Budget: 146.000 €</t>
  </si>
  <si>
    <t>Macan - Search  Planit Campaign String: 20056448_20056448_POR_RNG_RNG_DEU_T1_NU_EUR_2025-12-31_2026-12-30_LOCAL-SEANATIONAL2026  Budget: 182.500 €</t>
  </si>
  <si>
    <t>Macan Dienstwagen – Programmatic Banner  Planit Campaign String: 20172604_20172604_POR_MAC_SUV_DEU_T1_NU_EUR_2026-02-20_2026-10-31_LOCAL-MACANDIENSTWAGENPUSH2026  Budget: 100.000 €</t>
  </si>
  <si>
    <t>Macan – Programmatic Video und IBV  Planit Campaign String: 20130912_20130912_POR_RNG_RNG_DEU_T1_NU_EUR_2026-02-22_2026-12-30_LOCAL-AOPROGRAMMATICPERFORMANCE2026  Budget: 190.000 €</t>
  </si>
  <si>
    <t>Configuration,Dealer contact form submitted (DCFS),Cost Per Lead (CPL)</t>
  </si>
  <si>
    <t>185.000</t>
  </si>
  <si>
    <t>12.02.2026</t>
  </si>
  <si>
    <t>yes</t>
  </si>
  <si>
    <t>R_8Cgb7BgG1amDN9S</t>
  </si>
  <si>
    <t>Campaign 1 (Cayenne E3II):,Campaign 4 (Cayenne E4):</t>
  </si>
  <si>
    <t>20071014</t>
  </si>
  <si>
    <t>no PlanIt naming established yet; paid activation starts in May</t>
  </si>
  <si>
    <t>213.121.177.106</t>
  </si>
  <si>
    <t>R_2RauaPn2er7x2sW</t>
  </si>
  <si>
    <t>R_8EJlhhEUxG9KpgJ</t>
  </si>
  <si>
    <t>R_9Edb8foW44cZqMN</t>
  </si>
  <si>
    <t>Direct buy display and video, TV, OOH</t>
  </si>
  <si>
    <t>04/05/2026</t>
  </si>
  <si>
    <t>Existing Buyers</t>
  </si>
  <si>
    <t>All strategic target groups</t>
  </si>
  <si>
    <t>Direct buy display &amp; video, TV</t>
  </si>
  <si>
    <t>24/05/2026</t>
  </si>
  <si>
    <t>All Strategic Target Groups</t>
  </si>
  <si>
    <t>direct buy display &amp; messaging</t>
  </si>
  <si>
    <t>Baureihe</t>
  </si>
  <si>
    <t>Maßnahme</t>
  </si>
  <si>
    <t>Kanal Angaben</t>
  </si>
  <si>
    <t>Key</t>
  </si>
  <si>
    <t>Audience Primär</t>
  </si>
  <si>
    <t>Audience Sekundär</t>
  </si>
  <si>
    <t>2026-03-01T23:00:00.000Z</t>
  </si>
  <si>
    <t>2026-04-16T22:00:00.000Z</t>
  </si>
  <si>
    <t>PCA|CayenneE3II|20196850_20196850_POR_CAY_SUV_AUS_T2_NU_AUD_2026-03-01_2026-04-16_LOCAL-CAYENNEBLACKEDITIONH12026-CAYENNEBLACKEDITIONH12026</t>
  </si>
  <si>
    <t>2026-04-26T22:00:00.000Z</t>
  </si>
  <si>
    <t>2026-06-07T22:00:00.000Z</t>
  </si>
  <si>
    <t>PCA|MacanH2|20253810_20253810_POR_MAC_SUV_AUS_T1_NU_AUD_2026-04-26_2026-06-07_LOCAL-MACANGTSH12026-MACANGTSH12026</t>
  </si>
  <si>
    <t>2026-03-12T23:00:00.000Z</t>
  </si>
  <si>
    <t>2026-08-08T22:00:00.000Z</t>
  </si>
  <si>
    <t>PIB SPA|CayenneE3II|BlackEditionCampaign(March-August)</t>
  </si>
  <si>
    <t>2025-12-31T23:00:00.000Z</t>
  </si>
  <si>
    <t>2026-12-30T23:00:00.000Z</t>
  </si>
  <si>
    <t>PIB SPA|CayenneE3II|AlwaysOnSEM(Jan-Dec)</t>
  </si>
  <si>
    <t>2026-03-15T23:00:00.000Z</t>
  </si>
  <si>
    <t>PIB SPA|CayenneE4|CayenneElectricLaunchCampaign(March-August)</t>
  </si>
  <si>
    <t>2026-05-02T22:00:00.000Z</t>
  </si>
  <si>
    <t>2026-06-02T22:00:00.000Z</t>
  </si>
  <si>
    <t>PIB SPA|CayenneE4|CayenneCoupéTVC(May)</t>
  </si>
  <si>
    <t>PIB SPA|CayenneE4|AlwaysOnSEM(Jan-Dec)</t>
  </si>
  <si>
    <t>2026-02-11T23:00:00.000Z</t>
  </si>
  <si>
    <t>2026-05-09T22:00:00.000Z</t>
  </si>
  <si>
    <t>PIB SPA|MacanH2|Macan4SpiritPack(Feb-May)</t>
  </si>
  <si>
    <t>2026-09-14T22:00:00.000Z</t>
  </si>
  <si>
    <t>2026-11-14T23:00:00.000Z</t>
  </si>
  <si>
    <t>PIB SPA|MacanH2|MacanwithEquipmentPack(September-October)</t>
  </si>
  <si>
    <t>PIB SPA|MacanH2|AlwaysOnSEM(Jan-Dec)</t>
  </si>
  <si>
    <t>2026-06-25T22:00:00.000Z</t>
  </si>
  <si>
    <t>2026-07-25T22:00:00.000Z</t>
  </si>
  <si>
    <t>PCH|CayenneE4|PlanIt-ID=20161912</t>
  </si>
  <si>
    <t>PCH|CayenneE4|PlanIt-ID=20057186(differentmodeltypes)</t>
  </si>
  <si>
    <t>2026-09-06T22:00:00.000Z</t>
  </si>
  <si>
    <t>2026-10-04T22:00:00.000Z</t>
  </si>
  <si>
    <t>PCH|CayenneE4|Additionaldigitalcampaigninseptember(nosetupyet)</t>
  </si>
  <si>
    <t>PCH|MacanH2|PlanIt-ID=20057186(differentmodeltypes)</t>
  </si>
  <si>
    <t>PCH|MacanH2|Additionaldigitalcampaigninseptember(nosetupyet)</t>
  </si>
  <si>
    <t>2026-02-14T23:00:00.000Z</t>
  </si>
  <si>
    <t>PIT|CayenneE4|CayenneE4</t>
  </si>
  <si>
    <t>PIT|CayenneE4|CampagnaDCO</t>
  </si>
  <si>
    <t>PIT|MacanH2|CampagnaDCO</t>
  </si>
  <si>
    <t>2026-02-22T23:00:00.000Z</t>
  </si>
  <si>
    <t>2026-06-29T22:00:00.000Z</t>
  </si>
  <si>
    <t>PD|CayenneE3II|20130912_20130912_POR_RNG_RNG_DEU_T1_NU_EUR_2026-02-22_2026-12-30_LOCAL-AOPROGRAMMATICPERFORMANCE2026</t>
  </si>
  <si>
    <t>2026-01-04T23:00:00.000Z</t>
  </si>
  <si>
    <t>PD|CayenneE3II|20056448_20056448_POR_RNG_RNG_DEU_T1_NU_EUR_2025-12-31_2026-12-30_LOCAL-SEANATIONAL2026</t>
  </si>
  <si>
    <t>2026-05-17T22:00:00.000Z</t>
  </si>
  <si>
    <t>2026-06-27T22:00:00.000Z</t>
  </si>
  <si>
    <t>PD|CayenneE3II|20205848_20205848_POR_CAY_SUV_DEU_T1_NU_EUR_2025-12-31_2026-12-30_LOCAL-CAYENNEE4CAYENNEFAMILY</t>
  </si>
  <si>
    <t>2026-10-30T23:00:00.000Z</t>
  </si>
  <si>
    <t>PD|CayenneE4|20130912_20130912_POR_RNG_RNG_DEU_T1_NU_EUR_2026-02-22_2026-12-30_LOCAL-AOPROGRAMMATICPERFORMANCE2026</t>
  </si>
  <si>
    <t>PD|CayenneE4|20056448_20056448_POR_RNG_RNG_DEU_T1_NU_EUR_2025-12-31_2026-12-30_LOCAL-SEANATIONAL2026</t>
  </si>
  <si>
    <t>PD|CayenneE4|20205848_20205848_POR_CAY_SUV_DEU_T1_NU_EUR_2025-12-31_2026-12-30_LOCAL-CAYENNEE4CAYENNEFAMILY</t>
  </si>
  <si>
    <t>2026-04-06T22:00:00.000Z</t>
  </si>
  <si>
    <t>2026-08-15T22:00:00.000Z</t>
  </si>
  <si>
    <t>PD|MacanH2|20172604_20172604_POR_MAC_SUV_DEU_T1_NU_EUR_2026-02-20_2026-10-31_LOCAL-MACANDIENSTWAGENPUSH2026</t>
  </si>
  <si>
    <t>PD|MacanH2|20130912_20130912_POR_RNG_RNG_DEU_T1_NU_EUR_2026-02-22_2026-12-30_LOCAL-AOPROGRAMMATICPERFORMANCE2026</t>
  </si>
  <si>
    <t>PD|MacanH2|20056448_20056448_POR_RNG_RNG_DEU_T1_NU_EUR_2025-12-31_2026-12-30_LOCAL-SEANATIONAL2026</t>
  </si>
  <si>
    <t>2026-01-01T23:00:00.000Z</t>
  </si>
  <si>
    <t>2026-03-30T22:00:00.000Z</t>
  </si>
  <si>
    <t>PPL|CayenneE3II|Q12026digitalcampaigndone,mediaincl.:YouTube,DemandGen,PerformanceMax,Search,Meta,DisplayAds,</t>
  </si>
  <si>
    <t>2026-04-09T22:00:00.000Z</t>
  </si>
  <si>
    <t>PPL|MacanH2|Ongoing2026digitalcampaignstartinginApril,mediaincl.:Search&amp;MetaInventoryAds</t>
  </si>
  <si>
    <t>2026-01-12T23:00:00.000Z</t>
  </si>
  <si>
    <t>PBR|CayenneE3II|1stflight/TacticalCampaign(FastStart):JantoMar</t>
  </si>
  <si>
    <t>2026-06-04T22:00:00.000Z</t>
  </si>
  <si>
    <t>2026-08-30T22:00:00.000Z</t>
  </si>
  <si>
    <t>PBR|CayenneE3II|2ndflight/TacticalCampaign:JuntoAug</t>
  </si>
  <si>
    <t>2026-11-05T23:00:00.000Z</t>
  </si>
  <si>
    <t>2026-12-21T23:00:00.000Z</t>
  </si>
  <si>
    <t>PBR|CayenneE3II|CayenneFamily:E3II+E4(focusonleadgeneration)</t>
  </si>
  <si>
    <t>2026-07-05T22:00:00.000Z</t>
  </si>
  <si>
    <t>PBR|CayenneE4|LaunchCampaign:Jultomid-Sep(PrePoS),mid-SeptoOct(PoS)</t>
  </si>
  <si>
    <t>PBR|MacanH2|TacticalCampaign:NovtoDec</t>
  </si>
  <si>
    <t>PCL|CayenneE3II|CayenneFamily(ID:20053155)</t>
  </si>
  <si>
    <t>Retarget audience who have not converted from Cayenne Electric also conquest and custom</t>
  </si>
  <si>
    <t>2026-04-29T22:00:00.000Z</t>
  </si>
  <si>
    <t>PCL|CayenneE4|E4Launch(ID:20053154)</t>
  </si>
  <si>
    <t>2026-04-19T22:00:00.000Z</t>
  </si>
  <si>
    <t>2026-07-30T22:00:00.000Z</t>
  </si>
  <si>
    <t>PCL|MacanH2|MacanFamily(ID:20053156)</t>
  </si>
  <si>
    <t>2026-05-04T22:00:00.000Z</t>
  </si>
  <si>
    <t>2026-05-30T22:00:00.000Z</t>
  </si>
  <si>
    <t>PIB POR|CayenneE4|Meta(PAG)</t>
  </si>
  <si>
    <t>2026-05-31T22:00:00.000Z</t>
  </si>
  <si>
    <t>2026-06-14T22:00:00.000Z</t>
  </si>
  <si>
    <t>PIB POR|CayenneE4|TVC</t>
  </si>
  <si>
    <t>2026-06-30T22:00:00.000Z</t>
  </si>
  <si>
    <t>PIB POR|CayenneE4|POS</t>
  </si>
  <si>
    <t>PIB POR|MacanH2|Spirit</t>
  </si>
  <si>
    <t>2026-01-25T23:00:00.000Z</t>
  </si>
  <si>
    <t>PNO|CayenneE4|Cayenne2026launch</t>
  </si>
  <si>
    <t>2026-02-10T23:00:00.000Z</t>
  </si>
  <si>
    <t>2026-03-05T23:00:00.000Z</t>
  </si>
  <si>
    <t>PNO|MacanH2|MacanGTS</t>
  </si>
  <si>
    <t>2026-03-31T22:00:00.000Z</t>
  </si>
  <si>
    <t>PNO|MacanH2|MacanNorskUtstyrspakke</t>
  </si>
  <si>
    <t>2026-09-29T22:00:00.000Z</t>
  </si>
  <si>
    <t>TRK|CayenneE4|20168871_20168871_POR_CAY_SUV_CEE_T1_NU_EUR_2026-02-28_2026-09-29_LOCAL-DCOPROGRAMMATICCAYENNEELECTRIC-CAYENNE</t>
  </si>
  <si>
    <t>TRK|MacanH2|DCOProgrammaticMacanElectric</t>
  </si>
  <si>
    <t>PTW|CayenneE3II|always-on</t>
  </si>
  <si>
    <t>PTW|CayenneE4|always-on</t>
  </si>
  <si>
    <t>PTW|MacanH2|always-on</t>
  </si>
  <si>
    <t>POF|CayenneE3II|Always-onMETA(traficandleadad)</t>
  </si>
  <si>
    <t>POF|CayenneE3II|Always-onSEA</t>
  </si>
  <si>
    <t>POF|CayenneE4|Always-onMETA(trafficandleadad)&amp;SEA</t>
  </si>
  <si>
    <t>2026-02-28T23:00:00.000Z</t>
  </si>
  <si>
    <t>POF|CayenneE4|Presscampaign</t>
  </si>
  <si>
    <t>2026-03-19T23:00:00.000Z</t>
  </si>
  <si>
    <t>2026-06-06T22:00:00.000Z</t>
  </si>
  <si>
    <t>DOOH</t>
  </si>
  <si>
    <t>POF|CayenneE4|Digitalcampaign(trafficandleadgeneration)viaprogrammatic+DOOH</t>
  </si>
  <si>
    <t>POF|MacanH2|Always-onSEA</t>
  </si>
  <si>
    <t>POF|MacanH2|AlwaysonMETA(trafficandleadad)</t>
  </si>
  <si>
    <t>PCNA|CayenneE3II|AlwaysOn</t>
  </si>
  <si>
    <t>PCNA|CayenneE4|AlwaysOn</t>
  </si>
  <si>
    <t>PCNA|MacanH2|AlwaysOn</t>
  </si>
  <si>
    <t>PCGB|CayenneE3II|Alwayson</t>
  </si>
  <si>
    <t>PKO|CayenneE4|TEST</t>
  </si>
  <si>
    <t>2026-05-03T22:00:00.000Z</t>
  </si>
  <si>
    <t>PKO|CayenneE4|E4PreLaunch</t>
  </si>
  <si>
    <t>2026-05-23T22:00:00.000Z</t>
  </si>
  <si>
    <t>PKO|CayenneE4|E4CoupeLaunch</t>
  </si>
  <si>
    <t>PKO|MacanH2|H2GTS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</si>
</sst>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0\ &quot;€&quot;;\-#,##0\ &quot;€&quot;"/>
    <numFmt numFmtId="165" formatCode="#,##0\ &quot;€&quot;;[Red]\-#,##0\ &quot;€&quot;"/>
    <numFmt numFmtId="166" formatCode="_-* #,##0.00\ &quot;€&quot;_-;\-* #,##0.00\ &quot;€&quot;_-;_-* &quot;-&quot;??\ &quot;€&quot;_-;_-@_-"/>
    <numFmt numFmtId="167" formatCode="_-* #,##0.00_-;\-* #,##0.00_-;_-* &quot;-&quot;??_-;_-@_-"/>
    <numFmt numFmtId="168" formatCode="_-* #,##0\ &quot;€&quot;_-;\-* #,##0\ &quot;€&quot;_-;_-* &quot;-&quot;??\ &quot;€&quot;_-;_-@_-"/>
    <numFmt numFmtId="169" formatCode="#,##0\ &quot;€&quot;"/>
    <numFmt numFmtId="170" formatCode="_-* #,##0_-;\-* #,##0_-;_-* &quot;-&quot;??_-;_-@_-"/>
    <numFmt numFmtId="171" formatCode="0.0%"/>
    <numFmt numFmtId="172" formatCode="#,##0_ ;\-#,##0\ "/>
    <numFmt numFmtId="173" formatCode="0.0"/>
    <numFmt numFmtId="174" formatCode="d/m/yy;@"/>
    <numFmt numFmtId="175" formatCode="dd/mm/yy"/>
  </numFmts>
  <fonts count="35">
    <font>
      <sz val="11"/>
      <color theme="1"/>
      <name val="Calibri"/>
      <family val="2"/>
      <scheme val="minor"/>
    </font>
    <font>
      <sz val="11"/>
      <color theme="1"/>
      <name val="Calibri"/>
      <family val="2"/>
      <scheme val="minor"/>
    </font>
    <font>
      <sz val="10"/>
      <color theme="1"/>
      <name val="Porsche Next TT"/>
      <family val="2"/>
    </font>
    <font>
      <b/>
      <sz val="10"/>
      <color theme="1"/>
      <name val="Porsche Next TT"/>
      <family val="2"/>
    </font>
    <font>
      <sz val="10"/>
      <color theme="0"/>
      <name val="Porsche Next TT"/>
      <family val="2"/>
    </font>
    <font>
      <b/>
      <sz val="10"/>
      <color theme="0"/>
      <name val="Porsche Next TT"/>
      <family val="2"/>
    </font>
    <font>
      <sz val="10"/>
      <name val="Porsche Next TT"/>
      <family val="2"/>
    </font>
    <font>
      <sz val="10"/>
      <color rgb="FF000000"/>
      <name val="Porsche Next TT"/>
      <family val="2"/>
    </font>
    <font>
      <b/>
      <sz val="10"/>
      <color rgb="FF000000"/>
      <name val="Porsche Next TT"/>
      <family val="2"/>
    </font>
    <font>
      <b/>
      <sz val="10"/>
      <color theme="0"/>
      <name val="Porsche Next TT"/>
      <family val="2"/>
    </font>
    <font>
      <b/>
      <sz val="10"/>
      <name val="Porsche Next TT"/>
      <family val="2"/>
    </font>
    <font>
      <sz val="9"/>
      <color theme="1"/>
      <name val="Arial"/>
      <family val="2"/>
    </font>
    <font>
      <b/>
      <sz val="9"/>
      <color theme="1"/>
      <name val="Arial"/>
      <family val="2"/>
    </font>
    <font>
      <sz val="9"/>
      <name val="Arial"/>
      <family val="2"/>
    </font>
    <font>
      <sz val="11"/>
      <color theme="1"/>
      <name val="Porsche Next TT"/>
      <family val="2"/>
    </font>
    <font>
      <b/>
      <sz val="11"/>
      <color rgb="FF000000"/>
      <name val="Porsche Next TT"/>
      <family val="2"/>
    </font>
    <font>
      <b/>
      <sz val="11"/>
      <color theme="1"/>
      <name val="Porsche Next TT"/>
      <family val="2"/>
    </font>
    <font>
      <b/>
      <sz val="14"/>
      <color rgb="FFE74C3C"/>
      <name val="Porsche Next TT"/>
      <family val="2"/>
    </font>
    <font>
      <b/>
      <sz val="14"/>
      <color rgb="FF000000"/>
      <name val="Porsche Next TT"/>
      <family val="2"/>
    </font>
    <font>
      <b/>
      <sz val="14"/>
      <color rgb="FF7F8C8D"/>
      <name val="Porsche Next TT"/>
      <family val="2"/>
    </font>
    <font>
      <b/>
      <sz val="16"/>
      <color rgb="FFFFFFFF"/>
      <name val="Porsche Next TT"/>
      <family val="2"/>
    </font>
    <font>
      <b/>
      <sz val="11"/>
      <color rgb="FFE74C3C"/>
      <name val="Porsche Next TT"/>
      <family val="2"/>
    </font>
    <font>
      <b/>
      <sz val="11"/>
      <color rgb="FF7F8C8D"/>
      <name val="Porsche Next TT"/>
      <family val="2"/>
    </font>
    <font>
      <b/>
      <sz val="11"/>
      <color rgb="FF1F4E79"/>
      <name val="Porsche Next TT"/>
      <family val="2"/>
    </font>
    <font>
      <b/>
      <sz val="11"/>
      <color indexed="8"/>
      <name val="Calibri"/>
      <family val="2"/>
      <scheme val="minor"/>
    </font>
    <font>
      <sz val="11"/>
      <color rgb="FFC00000"/>
      <name val="Porsche Next TT"/>
      <family val="2"/>
    </font>
    <font>
      <sz val="11"/>
      <color rgb="FF000000"/>
      <name val="Porsche Next TT"/>
      <family val="2"/>
    </font>
    <font>
      <sz val="11"/>
      <color rgb="FF7F7F7F"/>
      <name val="Porsche Next TT"/>
      <family val="2"/>
    </font>
    <font>
      <b/>
      <sz val="11"/>
      <color theme="1"/>
      <name val="Calibri"/>
      <family val="2"/>
      <scheme val="minor"/>
    </font>
    <font>
      <sz val="11"/>
      <name val="Porsche Next TT"/>
      <family val="2"/>
    </font>
    <font>
      <sz val="11"/>
      <name val="Calibri"/>
      <family val="2"/>
      <scheme val="minor"/>
    </font>
    <font>
      <b/>
      <sz val="11"/>
      <name val="Porsche Next TT"/>
      <family val="2"/>
    </font>
    <font>
      <b/>
      <sz val="14"/>
      <color theme="1"/>
      <name val="Porsche Next TT"/>
      <family val="2"/>
    </font>
    <font>
      <sz val="14"/>
      <color rgb="FFC00000"/>
      <name val="Porsche Next TT"/>
      <family val="2"/>
    </font>
    <font>
      <sz val="14"/>
      <color rgb="FF7F7F7F"/>
      <name val="Porsche Next TT"/>
      <family val="2"/>
    </font>
  </fonts>
  <fills count="16">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9" tint="-0.249977111117893"/>
        <bgColor indexed="64"/>
      </patternFill>
    </fill>
    <fill>
      <patternFill patternType="gray125">
        <bgColor theme="0"/>
      </patternFill>
    </fill>
    <fill>
      <patternFill patternType="gray125">
        <bgColor theme="9" tint="0.79998168889431442"/>
      </patternFill>
    </fill>
    <fill>
      <patternFill patternType="solid">
        <fgColor rgb="FFF2F2F2"/>
        <bgColor indexed="64"/>
      </patternFill>
    </fill>
    <fill>
      <patternFill patternType="solid">
        <fgColor rgb="FF1F4E79"/>
        <bgColor indexed="64"/>
      </patternFill>
    </fill>
    <fill>
      <patternFill patternType="solid">
        <fgColor rgb="FFD9E1F2"/>
        <bgColor indexed="64"/>
      </patternFill>
    </fill>
    <fill>
      <patternFill patternType="solid">
        <fgColor indexed="22"/>
      </patternFill>
    </fill>
    <fill>
      <patternFill patternType="solid">
        <fgColor rgb="FFCC99FF"/>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auto="1"/>
      </right>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style="thin">
        <color indexed="64"/>
      </right>
      <top/>
      <bottom/>
      <diagonal/>
    </border>
    <border>
      <left/>
      <right style="thin">
        <color indexed="64"/>
      </right>
      <top style="medium">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auto="1"/>
      </top>
      <bottom/>
      <diagonal/>
    </border>
    <border>
      <left/>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right/>
      <top style="thin">
        <color auto="1"/>
      </top>
      <bottom style="thin">
        <color auto="1"/>
      </bottom>
      <diagonal/>
    </border>
  </borders>
  <cellStyleXfs count="3">
    <xf numFmtId="0" fontId="0" fillId="0" borderId="0"/>
    <xf numFmtId="166" fontId="1" fillId="0" borderId="0" applyFont="0" applyFill="0" applyBorder="0" applyAlignment="0" applyProtection="0"/>
    <xf numFmtId="167" fontId="1" fillId="0" borderId="0" applyFont="0" applyFill="0" applyBorder="0" applyAlignment="0" applyProtection="0"/>
  </cellStyleXfs>
  <cellXfs count="297">
    <xf numFmtId="0" fontId="0" fillId="0" borderId="0" xfId="0"/>
    <xf numFmtId="0" fontId="2" fillId="0" borderId="0" xfId="0" applyFont="1"/>
    <xf numFmtId="168" fontId="2" fillId="0" borderId="1" xfId="1" applyNumberFormat="1" applyFont="1" applyFill="1" applyBorder="1"/>
    <xf numFmtId="168" fontId="2" fillId="0" borderId="6" xfId="1" applyNumberFormat="1" applyFont="1" applyFill="1" applyBorder="1"/>
    <xf numFmtId="168" fontId="2" fillId="0" borderId="1" xfId="1" applyNumberFormat="1" applyFont="1" applyBorder="1"/>
    <xf numFmtId="168" fontId="2" fillId="0" borderId="6" xfId="1" applyNumberFormat="1" applyFont="1" applyBorder="1"/>
    <xf numFmtId="3" fontId="2" fillId="0" borderId="1" xfId="0" applyNumberFormat="1" applyFont="1" applyBorder="1"/>
    <xf numFmtId="0" fontId="2" fillId="0" borderId="1" xfId="0" applyFont="1" applyBorder="1" applyAlignment="1">
      <alignment horizontal="left" vertical="center"/>
    </xf>
    <xf numFmtId="168" fontId="2" fillId="0" borderId="1" xfId="0" applyNumberFormat="1" applyFont="1" applyBorder="1"/>
    <xf numFmtId="168" fontId="2" fillId="0" borderId="6" xfId="0" applyNumberFormat="1" applyFont="1" applyBorder="1"/>
    <xf numFmtId="0" fontId="2" fillId="0" borderId="16" xfId="0" applyFont="1" applyBorder="1" applyAlignment="1">
      <alignment vertical="center"/>
    </xf>
    <xf numFmtId="169" fontId="2" fillId="5" borderId="1" xfId="0" applyNumberFormat="1" applyFont="1" applyFill="1" applyBorder="1"/>
    <xf numFmtId="170" fontId="2" fillId="5" borderId="1" xfId="2" applyNumberFormat="1" applyFont="1" applyFill="1" applyBorder="1"/>
    <xf numFmtId="170" fontId="2" fillId="5" borderId="6" xfId="2" applyNumberFormat="1" applyFont="1" applyFill="1" applyBorder="1"/>
    <xf numFmtId="0" fontId="2" fillId="5" borderId="0" xfId="0" applyFont="1" applyFill="1"/>
    <xf numFmtId="170" fontId="2" fillId="5" borderId="16" xfId="2" applyNumberFormat="1" applyFont="1" applyFill="1" applyBorder="1"/>
    <xf numFmtId="170" fontId="2" fillId="5" borderId="15" xfId="2" applyNumberFormat="1" applyFont="1" applyFill="1" applyBorder="1"/>
    <xf numFmtId="170" fontId="2" fillId="5" borderId="3" xfId="2" applyNumberFormat="1" applyFont="1" applyFill="1" applyBorder="1"/>
    <xf numFmtId="170" fontId="2" fillId="5" borderId="4" xfId="2" applyNumberFormat="1" applyFont="1" applyFill="1" applyBorder="1"/>
    <xf numFmtId="3" fontId="2" fillId="0" borderId="3" xfId="0" applyNumberFormat="1" applyFont="1" applyBorder="1"/>
    <xf numFmtId="3" fontId="2" fillId="0" borderId="8" xfId="0" applyNumberFormat="1" applyFont="1" applyBorder="1"/>
    <xf numFmtId="168" fontId="0" fillId="0" borderId="0" xfId="1" applyNumberFormat="1" applyFont="1"/>
    <xf numFmtId="0" fontId="3" fillId="0" borderId="1" xfId="0" applyFont="1" applyBorder="1"/>
    <xf numFmtId="172" fontId="2" fillId="5" borderId="1" xfId="2" applyNumberFormat="1" applyFont="1" applyFill="1" applyBorder="1" applyAlignment="1">
      <alignment horizontal="right"/>
    </xf>
    <xf numFmtId="0" fontId="4" fillId="0" borderId="0" xfId="0" applyFont="1"/>
    <xf numFmtId="0" fontId="4" fillId="7" borderId="1" xfId="0" applyFont="1" applyFill="1" applyBorder="1" applyAlignment="1">
      <alignment horizontal="left"/>
    </xf>
    <xf numFmtId="168" fontId="4" fillId="7" borderId="1" xfId="1" applyNumberFormat="1" applyFont="1" applyFill="1" applyBorder="1"/>
    <xf numFmtId="169" fontId="4" fillId="7" borderId="1" xfId="0" applyNumberFormat="1" applyFont="1" applyFill="1" applyBorder="1" applyAlignment="1">
      <alignment horizontal="center" vertical="center"/>
    </xf>
    <xf numFmtId="0" fontId="3" fillId="0" borderId="1" xfId="0" applyFont="1" applyBorder="1" applyAlignment="1">
      <alignment horizontal="left" vertical="center"/>
    </xf>
    <xf numFmtId="0" fontId="2" fillId="0" borderId="3" xfId="0" applyFont="1" applyBorder="1" applyAlignment="1">
      <alignment horizontal="left" vertical="center"/>
    </xf>
    <xf numFmtId="168" fontId="4" fillId="0" borderId="0" xfId="0" applyNumberFormat="1" applyFont="1"/>
    <xf numFmtId="3" fontId="5" fillId="0" borderId="0" xfId="0" applyNumberFormat="1" applyFont="1"/>
    <xf numFmtId="0" fontId="4" fillId="5" borderId="0" xfId="0" applyFont="1" applyFill="1"/>
    <xf numFmtId="168" fontId="5" fillId="0" borderId="0" xfId="1" applyNumberFormat="1" applyFont="1" applyBorder="1" applyAlignment="1">
      <alignment horizontal="center"/>
    </xf>
    <xf numFmtId="169" fontId="4" fillId="5" borderId="0" xfId="0" applyNumberFormat="1" applyFont="1" applyFill="1"/>
    <xf numFmtId="171" fontId="4" fillId="5" borderId="0" xfId="0" applyNumberFormat="1" applyFont="1" applyFill="1"/>
    <xf numFmtId="171" fontId="4" fillId="0" borderId="0" xfId="0" applyNumberFormat="1" applyFont="1"/>
    <xf numFmtId="10" fontId="4" fillId="0" borderId="0" xfId="0" applyNumberFormat="1" applyFont="1"/>
    <xf numFmtId="169" fontId="5" fillId="5" borderId="0" xfId="0" applyNumberFormat="1" applyFont="1" applyFill="1"/>
    <xf numFmtId="9" fontId="4" fillId="0" borderId="0" xfId="0" applyNumberFormat="1" applyFont="1"/>
    <xf numFmtId="170" fontId="4" fillId="0" borderId="0" xfId="0" applyNumberFormat="1" applyFont="1"/>
    <xf numFmtId="170" fontId="5" fillId="0" borderId="0" xfId="2" applyNumberFormat="1" applyFont="1" applyBorder="1"/>
    <xf numFmtId="0" fontId="2" fillId="0" borderId="10" xfId="0" applyFont="1" applyBorder="1" applyAlignment="1">
      <alignment horizontal="left" vertical="center"/>
    </xf>
    <xf numFmtId="0" fontId="2" fillId="0" borderId="8" xfId="0" applyFont="1" applyBorder="1" applyAlignment="1">
      <alignment vertical="center"/>
    </xf>
    <xf numFmtId="3" fontId="2" fillId="0" borderId="16" xfId="0" applyNumberFormat="1" applyFont="1" applyBorder="1"/>
    <xf numFmtId="3" fontId="2" fillId="0" borderId="15" xfId="0" applyNumberFormat="1" applyFont="1" applyBorder="1"/>
    <xf numFmtId="9" fontId="2" fillId="5" borderId="10" xfId="0" applyNumberFormat="1" applyFont="1" applyFill="1" applyBorder="1"/>
    <xf numFmtId="9" fontId="2" fillId="5" borderId="11" xfId="0" applyNumberFormat="1" applyFont="1" applyFill="1" applyBorder="1"/>
    <xf numFmtId="169" fontId="2" fillId="5" borderId="6" xfId="0" applyNumberFormat="1" applyFont="1" applyFill="1" applyBorder="1"/>
    <xf numFmtId="169" fontId="2" fillId="5" borderId="8" xfId="0" applyNumberFormat="1" applyFont="1" applyFill="1" applyBorder="1"/>
    <xf numFmtId="169" fontId="2" fillId="5" borderId="9" xfId="0" applyNumberFormat="1" applyFont="1" applyFill="1" applyBorder="1"/>
    <xf numFmtId="0" fontId="3" fillId="5" borderId="1" xfId="0" applyFont="1" applyFill="1" applyBorder="1"/>
    <xf numFmtId="170" fontId="3" fillId="5" borderId="1" xfId="2" applyNumberFormat="1" applyFont="1" applyFill="1" applyBorder="1" applyAlignment="1">
      <alignment horizontal="right"/>
    </xf>
    <xf numFmtId="0" fontId="0" fillId="0" borderId="1" xfId="0" applyBorder="1"/>
    <xf numFmtId="0" fontId="3" fillId="0" borderId="16" xfId="0" applyFont="1" applyBorder="1"/>
    <xf numFmtId="0" fontId="3" fillId="5" borderId="16" xfId="0" applyFont="1" applyFill="1" applyBorder="1"/>
    <xf numFmtId="0" fontId="2" fillId="0" borderId="8" xfId="0" applyFont="1" applyBorder="1" applyAlignment="1">
      <alignment horizontal="left" vertical="center"/>
    </xf>
    <xf numFmtId="168" fontId="2" fillId="0" borderId="8" xfId="0" applyNumberFormat="1" applyFont="1" applyBorder="1"/>
    <xf numFmtId="169" fontId="2" fillId="5" borderId="10" xfId="0" applyNumberFormat="1" applyFont="1" applyFill="1" applyBorder="1"/>
    <xf numFmtId="169" fontId="2" fillId="0" borderId="10" xfId="0" applyNumberFormat="1" applyFont="1" applyBorder="1"/>
    <xf numFmtId="169" fontId="2" fillId="0" borderId="11" xfId="0" applyNumberFormat="1" applyFont="1" applyBorder="1"/>
    <xf numFmtId="164" fontId="2" fillId="5" borderId="1" xfId="2" applyNumberFormat="1" applyFont="1" applyFill="1" applyBorder="1"/>
    <xf numFmtId="164" fontId="3" fillId="5" borderId="1" xfId="2" applyNumberFormat="1" applyFont="1" applyFill="1" applyBorder="1"/>
    <xf numFmtId="0" fontId="3" fillId="0" borderId="3" xfId="0" applyFont="1" applyBorder="1" applyAlignment="1">
      <alignment horizontal="left" vertical="center"/>
    </xf>
    <xf numFmtId="0" fontId="3" fillId="0" borderId="16" xfId="0" applyFont="1" applyBorder="1" applyAlignment="1">
      <alignment vertical="center"/>
    </xf>
    <xf numFmtId="164" fontId="2" fillId="5" borderId="16" xfId="2" applyNumberFormat="1" applyFont="1" applyFill="1" applyBorder="1"/>
    <xf numFmtId="164" fontId="3" fillId="5" borderId="3" xfId="2" applyNumberFormat="1" applyFont="1" applyFill="1" applyBorder="1"/>
    <xf numFmtId="164" fontId="3" fillId="5" borderId="16" xfId="2" applyNumberFormat="1" applyFont="1" applyFill="1" applyBorder="1"/>
    <xf numFmtId="169" fontId="2" fillId="5" borderId="3" xfId="0" applyNumberFormat="1" applyFont="1" applyFill="1" applyBorder="1"/>
    <xf numFmtId="169" fontId="2" fillId="5" borderId="4" xfId="0" applyNumberFormat="1" applyFont="1" applyFill="1" applyBorder="1"/>
    <xf numFmtId="0" fontId="2" fillId="0" borderId="7" xfId="0" applyFont="1" applyBorder="1" applyAlignment="1">
      <alignment vertical="center"/>
    </xf>
    <xf numFmtId="9" fontId="2" fillId="5" borderId="8" xfId="0" applyNumberFormat="1" applyFont="1" applyFill="1" applyBorder="1"/>
    <xf numFmtId="9" fontId="2" fillId="5" borderId="9" xfId="0" applyNumberFormat="1" applyFont="1" applyFill="1" applyBorder="1"/>
    <xf numFmtId="0" fontId="2" fillId="0" borderId="3" xfId="0" applyFont="1" applyBorder="1" applyAlignment="1">
      <alignment vertical="center"/>
    </xf>
    <xf numFmtId="0" fontId="2" fillId="4" borderId="8" xfId="0" applyFont="1" applyFill="1" applyBorder="1"/>
    <xf numFmtId="0" fontId="2" fillId="3" borderId="8" xfId="0" applyFont="1" applyFill="1" applyBorder="1"/>
    <xf numFmtId="0" fontId="2" fillId="2" borderId="8" xfId="0" applyFont="1" applyFill="1" applyBorder="1"/>
    <xf numFmtId="0" fontId="2" fillId="4" borderId="9" xfId="0" applyFont="1" applyFill="1" applyBorder="1"/>
    <xf numFmtId="0" fontId="2" fillId="0" borderId="21" xfId="0" applyFont="1" applyBorder="1" applyAlignment="1">
      <alignment horizontal="left" vertical="center"/>
    </xf>
    <xf numFmtId="0" fontId="2" fillId="0" borderId="24" xfId="0" applyFont="1" applyBorder="1" applyAlignment="1">
      <alignment horizontal="left" vertical="center"/>
    </xf>
    <xf numFmtId="0" fontId="3" fillId="5" borderId="0" xfId="0" applyFont="1" applyFill="1" applyAlignment="1">
      <alignment horizontal="left" vertical="center"/>
    </xf>
    <xf numFmtId="0" fontId="2" fillId="5" borderId="0" xfId="0" applyFont="1" applyFill="1" applyAlignment="1">
      <alignment vertical="center"/>
    </xf>
    <xf numFmtId="0" fontId="2" fillId="5" borderId="2" xfId="0" applyFont="1" applyFill="1" applyBorder="1" applyAlignment="1">
      <alignment horizontal="left"/>
    </xf>
    <xf numFmtId="170" fontId="3" fillId="5" borderId="3" xfId="2" applyNumberFormat="1" applyFont="1" applyFill="1" applyBorder="1" applyAlignment="1">
      <alignment horizontal="right"/>
    </xf>
    <xf numFmtId="172" fontId="2" fillId="5" borderId="3" xfId="2" applyNumberFormat="1" applyFont="1" applyFill="1" applyBorder="1" applyAlignment="1">
      <alignment horizontal="right"/>
    </xf>
    <xf numFmtId="0" fontId="2" fillId="5" borderId="5" xfId="0" applyFont="1" applyFill="1" applyBorder="1" applyAlignment="1">
      <alignment horizontal="left"/>
    </xf>
    <xf numFmtId="172" fontId="2" fillId="5" borderId="6" xfId="2" applyNumberFormat="1" applyFont="1" applyFill="1" applyBorder="1" applyAlignment="1">
      <alignment horizontal="right"/>
    </xf>
    <xf numFmtId="0" fontId="0" fillId="5" borderId="0" xfId="0" applyFill="1"/>
    <xf numFmtId="168" fontId="0" fillId="5" borderId="0" xfId="1" applyNumberFormat="1" applyFont="1" applyFill="1" applyBorder="1"/>
    <xf numFmtId="0" fontId="2" fillId="0" borderId="2" xfId="0" applyFont="1" applyBorder="1" applyAlignment="1">
      <alignment vertical="center"/>
    </xf>
    <xf numFmtId="168" fontId="2" fillId="4" borderId="3" xfId="0" applyNumberFormat="1" applyFont="1" applyFill="1" applyBorder="1"/>
    <xf numFmtId="168" fontId="2" fillId="3" borderId="3" xfId="0" applyNumberFormat="1" applyFont="1" applyFill="1" applyBorder="1"/>
    <xf numFmtId="168" fontId="2" fillId="3" borderId="3" xfId="0" applyNumberFormat="1" applyFont="1" applyFill="1" applyBorder="1" applyAlignment="1">
      <alignment horizontal="left"/>
    </xf>
    <xf numFmtId="168" fontId="2" fillId="2" borderId="3" xfId="0" applyNumberFormat="1" applyFont="1" applyFill="1" applyBorder="1"/>
    <xf numFmtId="168" fontId="2" fillId="4" borderId="4" xfId="0" applyNumberFormat="1" applyFont="1" applyFill="1" applyBorder="1"/>
    <xf numFmtId="0" fontId="3" fillId="0" borderId="0" xfId="0" applyFont="1"/>
    <xf numFmtId="169" fontId="2" fillId="0" borderId="0" xfId="0" applyNumberFormat="1" applyFont="1"/>
    <xf numFmtId="0" fontId="7" fillId="0" borderId="0" xfId="0" applyFont="1" applyAlignment="1">
      <alignment vertical="center"/>
    </xf>
    <xf numFmtId="169" fontId="8" fillId="0" borderId="0" xfId="0" applyNumberFormat="1" applyFont="1" applyAlignment="1">
      <alignment horizontal="right" vertical="center"/>
    </xf>
    <xf numFmtId="169" fontId="7" fillId="0" borderId="0" xfId="0" applyNumberFormat="1" applyFont="1" applyAlignment="1">
      <alignment horizontal="right" vertical="center"/>
    </xf>
    <xf numFmtId="0" fontId="9" fillId="0" borderId="0" xfId="0" applyFont="1"/>
    <xf numFmtId="169" fontId="10" fillId="0" borderId="0" xfId="0" applyNumberFormat="1" applyFont="1"/>
    <xf numFmtId="164" fontId="10" fillId="0" borderId="0" xfId="0" applyNumberFormat="1" applyFont="1"/>
    <xf numFmtId="170" fontId="10" fillId="0" borderId="0" xfId="2" applyNumberFormat="1" applyFont="1" applyBorder="1"/>
    <xf numFmtId="0" fontId="3" fillId="5" borderId="1" xfId="0" applyFont="1" applyFill="1" applyBorder="1" applyAlignment="1">
      <alignment horizontal="left" vertical="center"/>
    </xf>
    <xf numFmtId="0" fontId="2" fillId="5" borderId="1" xfId="0" applyFont="1" applyFill="1" applyBorder="1" applyAlignment="1">
      <alignment horizontal="left" vertical="center"/>
    </xf>
    <xf numFmtId="169" fontId="2" fillId="5" borderId="1" xfId="0" applyNumberFormat="1" applyFont="1" applyFill="1" applyBorder="1" applyAlignment="1">
      <alignment horizontal="center"/>
    </xf>
    <xf numFmtId="169" fontId="10" fillId="5" borderId="1" xfId="0" applyNumberFormat="1" applyFont="1" applyFill="1" applyBorder="1" applyAlignment="1">
      <alignment horizontal="right"/>
    </xf>
    <xf numFmtId="0" fontId="2" fillId="5" borderId="1" xfId="0" applyFont="1" applyFill="1" applyBorder="1" applyAlignment="1">
      <alignment vertical="center"/>
    </xf>
    <xf numFmtId="169" fontId="3" fillId="5" borderId="1" xfId="0" applyNumberFormat="1" applyFont="1" applyFill="1" applyBorder="1" applyAlignment="1">
      <alignment horizontal="center"/>
    </xf>
    <xf numFmtId="169" fontId="2" fillId="9" borderId="1" xfId="0" applyNumberFormat="1" applyFont="1" applyFill="1" applyBorder="1" applyAlignment="1">
      <alignment horizontal="center"/>
    </xf>
    <xf numFmtId="169" fontId="3" fillId="9" borderId="1" xfId="0" applyNumberFormat="1" applyFont="1" applyFill="1" applyBorder="1" applyAlignment="1">
      <alignment horizontal="center"/>
    </xf>
    <xf numFmtId="0" fontId="6" fillId="6" borderId="1" xfId="0" applyFont="1" applyFill="1" applyBorder="1" applyAlignment="1">
      <alignment horizontal="left" vertical="center"/>
    </xf>
    <xf numFmtId="169" fontId="6" fillId="6" borderId="1" xfId="0" applyNumberFormat="1" applyFont="1" applyFill="1" applyBorder="1" applyAlignment="1">
      <alignment horizontal="center"/>
    </xf>
    <xf numFmtId="0" fontId="6" fillId="6" borderId="1" xfId="0" applyFont="1" applyFill="1" applyBorder="1" applyAlignment="1">
      <alignment vertical="center"/>
    </xf>
    <xf numFmtId="168" fontId="3" fillId="5" borderId="1" xfId="1" applyNumberFormat="1" applyFont="1" applyFill="1" applyBorder="1" applyAlignment="1">
      <alignment horizontal="right"/>
    </xf>
    <xf numFmtId="168" fontId="2" fillId="5" borderId="1" xfId="1" applyNumberFormat="1" applyFont="1" applyFill="1" applyBorder="1" applyAlignment="1">
      <alignment horizontal="right"/>
    </xf>
    <xf numFmtId="0" fontId="2" fillId="5" borderId="7" xfId="0" applyFont="1" applyFill="1" applyBorder="1" applyAlignment="1">
      <alignment horizontal="left"/>
    </xf>
    <xf numFmtId="168" fontId="3" fillId="5" borderId="8" xfId="1" applyNumberFormat="1" applyFont="1" applyFill="1" applyBorder="1" applyAlignment="1">
      <alignment horizontal="right"/>
    </xf>
    <xf numFmtId="168" fontId="2" fillId="5" borderId="8" xfId="1" applyNumberFormat="1" applyFont="1" applyFill="1" applyBorder="1" applyAlignment="1">
      <alignment horizontal="right"/>
    </xf>
    <xf numFmtId="0" fontId="6" fillId="6" borderId="2" xfId="0" applyFont="1" applyFill="1" applyBorder="1" applyAlignment="1">
      <alignment horizontal="left"/>
    </xf>
    <xf numFmtId="172" fontId="6" fillId="6" borderId="3" xfId="2" applyNumberFormat="1" applyFont="1" applyFill="1" applyBorder="1" applyAlignment="1">
      <alignment horizontal="right"/>
    </xf>
    <xf numFmtId="0" fontId="6" fillId="6" borderId="5" xfId="0" applyFont="1" applyFill="1" applyBorder="1" applyAlignment="1">
      <alignment horizontal="left"/>
    </xf>
    <xf numFmtId="172" fontId="6" fillId="6" borderId="1" xfId="2" applyNumberFormat="1" applyFont="1" applyFill="1" applyBorder="1" applyAlignment="1">
      <alignment horizontal="right"/>
    </xf>
    <xf numFmtId="168" fontId="6" fillId="6" borderId="1" xfId="1" applyNumberFormat="1" applyFont="1" applyFill="1" applyBorder="1" applyAlignment="1">
      <alignment horizontal="right"/>
    </xf>
    <xf numFmtId="0" fontId="6" fillId="6" borderId="7" xfId="0" applyFont="1" applyFill="1" applyBorder="1" applyAlignment="1">
      <alignment horizontal="left"/>
    </xf>
    <xf numFmtId="168" fontId="6" fillId="6" borderId="8" xfId="1" applyNumberFormat="1" applyFont="1" applyFill="1" applyBorder="1" applyAlignment="1">
      <alignment horizontal="right"/>
    </xf>
    <xf numFmtId="0" fontId="2" fillId="5" borderId="10" xfId="0" applyFont="1" applyFill="1" applyBorder="1" applyAlignment="1">
      <alignment horizontal="left"/>
    </xf>
    <xf numFmtId="168" fontId="3" fillId="5" borderId="10" xfId="1" applyNumberFormat="1" applyFont="1" applyFill="1" applyBorder="1" applyAlignment="1">
      <alignment horizontal="right"/>
    </xf>
    <xf numFmtId="168" fontId="2" fillId="5" borderId="10" xfId="1" applyNumberFormat="1" applyFont="1" applyFill="1" applyBorder="1" applyAlignment="1">
      <alignment horizontal="right"/>
    </xf>
    <xf numFmtId="0" fontId="2" fillId="5" borderId="1" xfId="0" applyFont="1" applyFill="1" applyBorder="1" applyAlignment="1">
      <alignment horizontal="left"/>
    </xf>
    <xf numFmtId="0" fontId="2" fillId="5" borderId="16" xfId="0" applyFont="1" applyFill="1" applyBorder="1" applyAlignment="1">
      <alignment horizontal="left"/>
    </xf>
    <xf numFmtId="168" fontId="3" fillId="5" borderId="16" xfId="1" applyNumberFormat="1" applyFont="1" applyFill="1" applyBorder="1" applyAlignment="1">
      <alignment horizontal="right"/>
    </xf>
    <xf numFmtId="168" fontId="2" fillId="5" borderId="16" xfId="1" applyNumberFormat="1" applyFont="1" applyFill="1" applyBorder="1" applyAlignment="1">
      <alignment horizontal="right"/>
    </xf>
    <xf numFmtId="0" fontId="2" fillId="6" borderId="16" xfId="0" applyFont="1" applyFill="1" applyBorder="1" applyAlignment="1">
      <alignment horizontal="left"/>
    </xf>
    <xf numFmtId="168" fontId="3" fillId="6" borderId="16" xfId="1" applyNumberFormat="1" applyFont="1" applyFill="1" applyBorder="1" applyAlignment="1">
      <alignment horizontal="right"/>
    </xf>
    <xf numFmtId="168" fontId="2" fillId="6" borderId="16" xfId="1" applyNumberFormat="1" applyFont="1" applyFill="1" applyBorder="1" applyAlignment="1">
      <alignment horizontal="right"/>
    </xf>
    <xf numFmtId="169" fontId="3" fillId="0" borderId="0" xfId="0" applyNumberFormat="1" applyFont="1"/>
    <xf numFmtId="169" fontId="6" fillId="4" borderId="1" xfId="0" applyNumberFormat="1" applyFont="1" applyFill="1" applyBorder="1" applyAlignment="1">
      <alignment horizontal="center"/>
    </xf>
    <xf numFmtId="169" fontId="2" fillId="4" borderId="1" xfId="0" applyNumberFormat="1" applyFont="1" applyFill="1" applyBorder="1" applyAlignment="1">
      <alignment horizontal="center"/>
    </xf>
    <xf numFmtId="169" fontId="6" fillId="10" borderId="1" xfId="0" applyNumberFormat="1" applyFont="1" applyFill="1" applyBorder="1" applyAlignment="1">
      <alignment horizontal="center"/>
    </xf>
    <xf numFmtId="173" fontId="3" fillId="0" borderId="0" xfId="0" applyNumberFormat="1" applyFont="1"/>
    <xf numFmtId="0" fontId="5" fillId="0" borderId="0" xfId="0" applyFont="1"/>
    <xf numFmtId="168" fontId="5" fillId="0" borderId="0" xfId="0" applyNumberFormat="1" applyFont="1"/>
    <xf numFmtId="169" fontId="5" fillId="0" borderId="0" xfId="0" applyNumberFormat="1" applyFont="1"/>
    <xf numFmtId="9" fontId="5" fillId="0" borderId="0" xfId="0" applyNumberFormat="1" applyFont="1"/>
    <xf numFmtId="0" fontId="5" fillId="5" borderId="0" xfId="0" applyFont="1" applyFill="1"/>
    <xf numFmtId="169" fontId="3" fillId="5" borderId="1" xfId="0" applyNumberFormat="1" applyFont="1" applyFill="1" applyBorder="1" applyAlignment="1">
      <alignment horizontal="right"/>
    </xf>
    <xf numFmtId="0" fontId="10" fillId="6" borderId="1" xfId="0" applyFont="1" applyFill="1" applyBorder="1" applyAlignment="1">
      <alignment horizontal="left" vertical="center"/>
    </xf>
    <xf numFmtId="169" fontId="10" fillId="6" borderId="1" xfId="0" applyNumberFormat="1" applyFont="1" applyFill="1" applyBorder="1" applyAlignment="1">
      <alignment horizontal="right"/>
    </xf>
    <xf numFmtId="169" fontId="10" fillId="6" borderId="1" xfId="0" applyNumberFormat="1" applyFont="1" applyFill="1" applyBorder="1" applyAlignment="1">
      <alignment horizontal="center"/>
    </xf>
    <xf numFmtId="169" fontId="10" fillId="4" borderId="1" xfId="0" applyNumberFormat="1" applyFont="1" applyFill="1" applyBorder="1" applyAlignment="1">
      <alignment horizontal="center"/>
    </xf>
    <xf numFmtId="170" fontId="10" fillId="6" borderId="3" xfId="2" applyNumberFormat="1" applyFont="1" applyFill="1" applyBorder="1" applyAlignment="1">
      <alignment horizontal="right"/>
    </xf>
    <xf numFmtId="170" fontId="10" fillId="6" borderId="1" xfId="2" applyNumberFormat="1" applyFont="1" applyFill="1" applyBorder="1" applyAlignment="1">
      <alignment horizontal="right"/>
    </xf>
    <xf numFmtId="168" fontId="10" fillId="6" borderId="1" xfId="1" applyNumberFormat="1" applyFont="1" applyFill="1" applyBorder="1" applyAlignment="1">
      <alignment horizontal="right"/>
    </xf>
    <xf numFmtId="168" fontId="10" fillId="6" borderId="8" xfId="1" applyNumberFormat="1" applyFont="1" applyFill="1" applyBorder="1" applyAlignment="1">
      <alignment horizontal="right"/>
    </xf>
    <xf numFmtId="0" fontId="5" fillId="0" borderId="0" xfId="0" applyFont="1" applyAlignment="1">
      <alignment horizontal="right"/>
    </xf>
    <xf numFmtId="0" fontId="4" fillId="8" borderId="1" xfId="0" applyFont="1" applyFill="1" applyBorder="1" applyAlignment="1">
      <alignment horizontal="left"/>
    </xf>
    <xf numFmtId="169" fontId="4" fillId="8" borderId="1" xfId="0" applyNumberFormat="1" applyFont="1" applyFill="1" applyBorder="1" applyAlignment="1">
      <alignment horizontal="center" vertical="center"/>
    </xf>
    <xf numFmtId="168" fontId="4" fillId="8" borderId="1" xfId="1" applyNumberFormat="1" applyFont="1" applyFill="1" applyBorder="1"/>
    <xf numFmtId="0" fontId="8" fillId="0" borderId="0" xfId="0" applyFont="1" applyAlignment="1">
      <alignment vertical="center"/>
    </xf>
    <xf numFmtId="0" fontId="11" fillId="0" borderId="0" xfId="0" applyFont="1" applyAlignment="1">
      <alignment horizontal="center"/>
    </xf>
    <xf numFmtId="0" fontId="11" fillId="5" borderId="0" xfId="0" applyFont="1" applyFill="1" applyAlignment="1">
      <alignment horizontal="center" vertical="center"/>
    </xf>
    <xf numFmtId="0" fontId="12" fillId="5" borderId="1" xfId="0" applyFont="1" applyFill="1" applyBorder="1" applyAlignment="1">
      <alignment horizontal="center"/>
    </xf>
    <xf numFmtId="0" fontId="13" fillId="5" borderId="25" xfId="0" applyFont="1" applyFill="1" applyBorder="1" applyAlignment="1">
      <alignment horizontal="center" vertical="center"/>
    </xf>
    <xf numFmtId="174" fontId="13" fillId="5" borderId="1" xfId="0" applyNumberFormat="1" applyFont="1" applyFill="1" applyBorder="1" applyAlignment="1">
      <alignment horizontal="center"/>
    </xf>
    <xf numFmtId="0" fontId="14" fillId="0" borderId="0" xfId="0" applyFont="1"/>
    <xf numFmtId="0" fontId="14" fillId="0" borderId="0" xfId="0" applyFont="1" applyAlignment="1">
      <alignment horizontal="center"/>
    </xf>
    <xf numFmtId="175" fontId="14" fillId="0" borderId="0" xfId="0" applyNumberFormat="1" applyFont="1"/>
    <xf numFmtId="0" fontId="14" fillId="0" borderId="0" xfId="0" applyFont="1" applyAlignment="1">
      <alignment horizontal="left"/>
    </xf>
    <xf numFmtId="175" fontId="14" fillId="0" borderId="0" xfId="0" applyNumberFormat="1" applyFont="1" applyAlignment="1">
      <alignment horizontal="center"/>
    </xf>
    <xf numFmtId="0" fontId="18" fillId="0" borderId="0" xfId="0" applyFont="1" applyAlignment="1">
      <alignment horizontal="center"/>
    </xf>
    <xf numFmtId="0" fontId="14" fillId="0" borderId="27" xfId="0" applyFont="1" applyBorder="1" applyAlignment="1">
      <alignment horizontal="left"/>
    </xf>
    <xf numFmtId="175" fontId="14" fillId="0" borderId="27" xfId="0" applyNumberFormat="1" applyFont="1" applyBorder="1" applyAlignment="1">
      <alignment horizontal="center"/>
    </xf>
    <xf numFmtId="0" fontId="19" fillId="0" borderId="27" xfId="0" applyFont="1" applyBorder="1" applyAlignment="1">
      <alignment horizontal="center"/>
    </xf>
    <xf numFmtId="0" fontId="14" fillId="0" borderId="29" xfId="0" applyFont="1" applyBorder="1" applyAlignment="1">
      <alignment horizontal="left"/>
    </xf>
    <xf numFmtId="0" fontId="14" fillId="0" borderId="30" xfId="0" applyFont="1" applyBorder="1" applyAlignment="1">
      <alignment horizontal="left"/>
    </xf>
    <xf numFmtId="0" fontId="17" fillId="0" borderId="22" xfId="0" applyFont="1" applyBorder="1" applyAlignment="1">
      <alignment horizontal="center"/>
    </xf>
    <xf numFmtId="0" fontId="18" fillId="0" borderId="22" xfId="0" applyFont="1" applyBorder="1" applyAlignment="1">
      <alignment horizontal="center"/>
    </xf>
    <xf numFmtId="0" fontId="19" fillId="0" borderId="22" xfId="0" applyFont="1" applyBorder="1" applyAlignment="1">
      <alignment horizontal="center"/>
    </xf>
    <xf numFmtId="0" fontId="19" fillId="0" borderId="24" xfId="0" applyFont="1" applyBorder="1" applyAlignment="1">
      <alignment horizontal="center"/>
    </xf>
    <xf numFmtId="0" fontId="16" fillId="11" borderId="26" xfId="0" applyFont="1" applyFill="1" applyBorder="1" applyAlignment="1">
      <alignment horizontal="center"/>
    </xf>
    <xf numFmtId="0" fontId="15" fillId="0" borderId="0" xfId="0" applyFont="1"/>
    <xf numFmtId="0" fontId="22" fillId="0" borderId="0" xfId="0" applyFont="1"/>
    <xf numFmtId="49" fontId="16" fillId="11" borderId="26" xfId="0" applyNumberFormat="1" applyFont="1" applyFill="1" applyBorder="1" applyAlignment="1">
      <alignment horizontal="center"/>
    </xf>
    <xf numFmtId="49" fontId="16" fillId="11" borderId="31" xfId="0" applyNumberFormat="1" applyFont="1" applyFill="1" applyBorder="1" applyAlignment="1">
      <alignment horizontal="center"/>
    </xf>
    <xf numFmtId="0" fontId="16" fillId="11" borderId="28" xfId="0" applyFont="1" applyFill="1" applyBorder="1" applyAlignment="1">
      <alignment horizontal="left"/>
    </xf>
    <xf numFmtId="0" fontId="16" fillId="11" borderId="26" xfId="0" applyFont="1" applyFill="1" applyBorder="1" applyAlignment="1">
      <alignment horizontal="left"/>
    </xf>
    <xf numFmtId="0" fontId="24" fillId="0" borderId="0" xfId="0" applyFont="1"/>
    <xf numFmtId="14" fontId="0" fillId="0" borderId="0" xfId="0" applyNumberFormat="1"/>
    <xf numFmtId="165" fontId="0" fillId="0" borderId="0" xfId="0" applyNumberFormat="1"/>
    <xf numFmtId="0" fontId="0" fillId="0" borderId="0" xfId="0" applyAlignment="1">
      <alignment wrapText="1"/>
    </xf>
    <xf numFmtId="49" fontId="0" fillId="0" borderId="0" xfId="0" applyNumberFormat="1" applyAlignment="1">
      <alignment wrapText="1"/>
    </xf>
    <xf numFmtId="0" fontId="18" fillId="0" borderId="27" xfId="0" applyFont="1" applyBorder="1" applyAlignment="1">
      <alignment horizontal="center"/>
    </xf>
    <xf numFmtId="0" fontId="18" fillId="0" borderId="24" xfId="0" applyFont="1" applyBorder="1" applyAlignment="1">
      <alignment horizontal="center"/>
    </xf>
    <xf numFmtId="0" fontId="0" fillId="14" borderId="0" xfId="0" applyFill="1"/>
    <xf numFmtId="22" fontId="0" fillId="0" borderId="0" xfId="0" applyNumberFormat="1"/>
    <xf numFmtId="0" fontId="21" fillId="0" borderId="0" xfId="0" applyFont="1" applyAlignment="1">
      <alignment horizontal="left"/>
    </xf>
    <xf numFmtId="0" fontId="16" fillId="0" borderId="0" xfId="0" applyFont="1" applyAlignment="1">
      <alignment horizontal="left"/>
    </xf>
    <xf numFmtId="0" fontId="17" fillId="0" borderId="0" xfId="0" applyFont="1" applyAlignment="1">
      <alignment horizontal="center"/>
    </xf>
    <xf numFmtId="0" fontId="19" fillId="0" borderId="0" xfId="0" applyFont="1" applyAlignment="1">
      <alignment horizontal="center"/>
    </xf>
    <xf numFmtId="0" fontId="16" fillId="11" borderId="26" xfId="0" applyFont="1" applyFill="1" applyBorder="1" applyAlignment="1">
      <alignment horizontal="left" vertical="top" wrapText="1"/>
    </xf>
    <xf numFmtId="0" fontId="16" fillId="11" borderId="28" xfId="0" applyFont="1" applyFill="1" applyBorder="1" applyAlignment="1">
      <alignment horizontal="left" vertical="top" wrapText="1"/>
    </xf>
    <xf numFmtId="0" fontId="16" fillId="11" borderId="31" xfId="0" applyFont="1" applyFill="1" applyBorder="1" applyAlignment="1">
      <alignment horizontal="left" vertical="top" wrapText="1"/>
    </xf>
    <xf numFmtId="0" fontId="14" fillId="0" borderId="29" xfId="0" applyFont="1" applyBorder="1" applyAlignment="1">
      <alignment horizontal="left" vertical="top" wrapText="1"/>
    </xf>
    <xf numFmtId="0" fontId="14" fillId="0" borderId="22" xfId="0" applyFont="1" applyBorder="1" applyAlignment="1">
      <alignment horizontal="left" vertical="top" wrapText="1"/>
    </xf>
    <xf numFmtId="0" fontId="14" fillId="0" borderId="30" xfId="0" applyFont="1" applyBorder="1" applyAlignment="1">
      <alignment horizontal="left" vertical="top" wrapText="1"/>
    </xf>
    <xf numFmtId="0" fontId="14" fillId="0" borderId="27" xfId="0" applyFont="1" applyBorder="1" applyAlignment="1">
      <alignment horizontal="left" vertical="top" wrapText="1"/>
    </xf>
    <xf numFmtId="0" fontId="16" fillId="0" borderId="0" xfId="0" applyFont="1"/>
    <xf numFmtId="0" fontId="16" fillId="0" borderId="0" xfId="0" applyFont="1" applyAlignment="1">
      <alignment horizontal="center"/>
    </xf>
    <xf numFmtId="0" fontId="28" fillId="0" borderId="0" xfId="0" applyFont="1"/>
    <xf numFmtId="0" fontId="29" fillId="0" borderId="29" xfId="0" applyFont="1" applyBorder="1" applyAlignment="1">
      <alignment horizontal="left"/>
    </xf>
    <xf numFmtId="0" fontId="29" fillId="0" borderId="30" xfId="0" applyFont="1" applyBorder="1" applyAlignment="1">
      <alignment horizontal="left"/>
    </xf>
    <xf numFmtId="0" fontId="29" fillId="0" borderId="27" xfId="0" applyFont="1" applyBorder="1" applyAlignment="1">
      <alignment horizontal="left"/>
    </xf>
    <xf numFmtId="0" fontId="29" fillId="0" borderId="0" xfId="0" applyFont="1" applyAlignment="1">
      <alignment horizontal="left"/>
    </xf>
    <xf numFmtId="175" fontId="25" fillId="0" borderId="0" xfId="0" applyNumberFormat="1" applyFont="1" applyAlignment="1">
      <alignment horizontal="center"/>
    </xf>
    <xf numFmtId="175" fontId="26" fillId="0" borderId="0" xfId="0" applyNumberFormat="1" applyFont="1" applyAlignment="1">
      <alignment horizontal="center"/>
    </xf>
    <xf numFmtId="175" fontId="27" fillId="0" borderId="0" xfId="0" applyNumberFormat="1" applyFont="1" applyAlignment="1">
      <alignment horizontal="center"/>
    </xf>
    <xf numFmtId="175" fontId="27" fillId="0" borderId="27" xfId="0" applyNumberFormat="1" applyFont="1" applyBorder="1" applyAlignment="1">
      <alignment horizontal="center"/>
    </xf>
    <xf numFmtId="49" fontId="31" fillId="11" borderId="28" xfId="0" applyNumberFormat="1" applyFont="1" applyFill="1" applyBorder="1" applyAlignment="1">
      <alignment horizontal="left"/>
    </xf>
    <xf numFmtId="49" fontId="31" fillId="11" borderId="26" xfId="0" applyNumberFormat="1" applyFont="1" applyFill="1" applyBorder="1" applyAlignment="1">
      <alignment horizontal="left"/>
    </xf>
    <xf numFmtId="0" fontId="29" fillId="0" borderId="29" xfId="0" applyFont="1" applyBorder="1"/>
    <xf numFmtId="0" fontId="29" fillId="0" borderId="0" xfId="0" applyFont="1"/>
    <xf numFmtId="0" fontId="21" fillId="0" borderId="0" xfId="0" applyFont="1"/>
    <xf numFmtId="0" fontId="21" fillId="0" borderId="22" xfId="0" applyFont="1" applyBorder="1"/>
    <xf numFmtId="0" fontId="15" fillId="0" borderId="22" xfId="0" applyFont="1" applyBorder="1"/>
    <xf numFmtId="0" fontId="29" fillId="0" borderId="30" xfId="0" applyFont="1" applyBorder="1"/>
    <xf numFmtId="0" fontId="29" fillId="0" borderId="27" xfId="0" applyFont="1" applyBorder="1"/>
    <xf numFmtId="175" fontId="14" fillId="0" borderId="27" xfId="0" applyNumberFormat="1" applyFont="1" applyBorder="1"/>
    <xf numFmtId="0" fontId="22" fillId="0" borderId="27" xfId="0" applyFont="1" applyBorder="1"/>
    <xf numFmtId="0" fontId="22" fillId="0" borderId="24" xfId="0" applyFont="1" applyBorder="1"/>
    <xf numFmtId="0" fontId="29" fillId="0" borderId="29" xfId="0" applyFont="1" applyBorder="1" applyAlignment="1">
      <alignment horizontal="center"/>
    </xf>
    <xf numFmtId="0" fontId="29" fillId="0" borderId="0" xfId="0" applyFont="1" applyAlignment="1">
      <alignment horizontal="center"/>
    </xf>
    <xf numFmtId="0" fontId="29" fillId="0" borderId="30" xfId="0" applyFont="1" applyBorder="1" applyAlignment="1">
      <alignment horizontal="center"/>
    </xf>
    <xf numFmtId="0" fontId="29" fillId="0" borderId="27" xfId="0" applyFont="1" applyBorder="1" applyAlignment="1">
      <alignment horizontal="center"/>
    </xf>
    <xf numFmtId="0" fontId="14" fillId="0" borderId="0" xfId="0" applyFont="1" applyAlignment="1">
      <alignment horizontal="left" vertical="top" wrapText="1"/>
    </xf>
    <xf numFmtId="0" fontId="30" fillId="0" borderId="0" xfId="0" applyFont="1"/>
    <xf numFmtId="0" fontId="16" fillId="0" borderId="0" xfId="0" applyFont="1" applyAlignment="1">
      <alignment horizontal="left" vertical="top" wrapText="1"/>
    </xf>
    <xf numFmtId="0" fontId="16" fillId="11" borderId="0" xfId="0" applyFont="1" applyFill="1" applyAlignment="1">
      <alignment horizontal="left" vertical="top" wrapText="1"/>
    </xf>
    <xf numFmtId="0" fontId="14" fillId="0" borderId="24" xfId="0" applyFont="1" applyBorder="1" applyAlignment="1">
      <alignment horizontal="left" vertical="top" wrapText="1"/>
    </xf>
    <xf numFmtId="175" fontId="26" fillId="0" borderId="27" xfId="0" applyNumberFormat="1" applyFont="1" applyBorder="1" applyAlignment="1">
      <alignment horizontal="center"/>
    </xf>
    <xf numFmtId="0" fontId="14" fillId="0" borderId="22" xfId="0" applyFont="1" applyBorder="1" applyAlignment="1">
      <alignment horizontal="left"/>
    </xf>
    <xf numFmtId="0" fontId="14" fillId="0" borderId="24" xfId="0" applyFont="1" applyBorder="1" applyAlignment="1">
      <alignment horizontal="left"/>
    </xf>
    <xf numFmtId="0" fontId="10" fillId="5" borderId="0" xfId="0" applyFont="1" applyFill="1" applyAlignment="1">
      <alignment horizontal="left" vertical="center"/>
    </xf>
    <xf numFmtId="169" fontId="10" fillId="5" borderId="0" xfId="0" applyNumberFormat="1" applyFont="1" applyFill="1" applyAlignment="1">
      <alignment horizontal="center"/>
    </xf>
    <xf numFmtId="169" fontId="10" fillId="5" borderId="0" xfId="0" applyNumberFormat="1" applyFont="1" applyFill="1" applyAlignment="1">
      <alignment horizontal="right"/>
    </xf>
    <xf numFmtId="0" fontId="0" fillId="15" borderId="1" xfId="0" applyFill="1" applyBorder="1"/>
    <xf numFmtId="9" fontId="2" fillId="15" borderId="1" xfId="0" applyNumberFormat="1" applyFont="1" applyFill="1" applyBorder="1"/>
    <xf numFmtId="0" fontId="26" fillId="0" borderId="0" xfId="0" applyFont="1"/>
    <xf numFmtId="175" fontId="26" fillId="0" borderId="0" xfId="0" applyNumberFormat="1" applyFont="1"/>
    <xf numFmtId="49" fontId="32" fillId="11" borderId="26" xfId="0" applyNumberFormat="1" applyFont="1" applyFill="1" applyBorder="1" applyAlignment="1">
      <alignment horizontal="center"/>
    </xf>
    <xf numFmtId="49" fontId="32" fillId="11" borderId="31" xfId="0" applyNumberFormat="1" applyFont="1" applyFill="1" applyBorder="1" applyAlignment="1">
      <alignment horizontal="center"/>
    </xf>
    <xf numFmtId="0" fontId="27" fillId="0" borderId="0" xfId="0" applyFont="1"/>
    <xf numFmtId="0" fontId="25" fillId="0" borderId="29" xfId="0" applyFont="1" applyBorder="1"/>
    <xf numFmtId="0" fontId="25" fillId="0" borderId="0" xfId="0" applyFont="1"/>
    <xf numFmtId="175" fontId="25" fillId="0" borderId="0" xfId="0" applyNumberFormat="1" applyFont="1"/>
    <xf numFmtId="0" fontId="27" fillId="0" borderId="29" xfId="0" applyFont="1" applyBorder="1"/>
    <xf numFmtId="175" fontId="27" fillId="0" borderId="0" xfId="0" applyNumberFormat="1" applyFont="1"/>
    <xf numFmtId="0" fontId="27" fillId="0" borderId="30" xfId="0" applyFont="1" applyBorder="1"/>
    <xf numFmtId="0" fontId="27" fillId="0" borderId="27" xfId="0" applyFont="1" applyBorder="1"/>
    <xf numFmtId="175" fontId="27" fillId="0" borderId="27" xfId="0" applyNumberFormat="1" applyFont="1" applyBorder="1"/>
    <xf numFmtId="0" fontId="33" fillId="0" borderId="0" xfId="0" applyFont="1" applyAlignment="1">
      <alignment horizontal="center"/>
    </xf>
    <xf numFmtId="0" fontId="33" fillId="0" borderId="22" xfId="0" applyFont="1" applyBorder="1" applyAlignment="1">
      <alignment horizontal="center"/>
    </xf>
    <xf numFmtId="0" fontId="34" fillId="0" borderId="0" xfId="0" applyFont="1" applyAlignment="1">
      <alignment horizontal="center"/>
    </xf>
    <xf numFmtId="0" fontId="34" fillId="0" borderId="22" xfId="0" applyFont="1" applyBorder="1" applyAlignment="1">
      <alignment horizontal="center"/>
    </xf>
    <xf numFmtId="0" fontId="34" fillId="0" borderId="27" xfId="0" applyFont="1" applyBorder="1" applyAlignment="1">
      <alignment horizontal="center"/>
    </xf>
    <xf numFmtId="0" fontId="34" fillId="0" borderId="24" xfId="0" applyFont="1" applyBorder="1" applyAlignment="1">
      <alignment horizontal="center"/>
    </xf>
    <xf numFmtId="0" fontId="2" fillId="0" borderId="0" xfId="0" applyFont="1" applyAlignment="1">
      <alignment horizontal="left"/>
    </xf>
    <xf numFmtId="0" fontId="3" fillId="0" borderId="0" xfId="0" applyFont="1" applyAlignment="1">
      <alignment horizontal="left"/>
    </xf>
    <xf numFmtId="0" fontId="2" fillId="0" borderId="13" xfId="0" applyFont="1" applyBorder="1" applyAlignment="1">
      <alignment horizontal="left" vertical="center"/>
    </xf>
    <xf numFmtId="0" fontId="2" fillId="0" borderId="10" xfId="0" applyFont="1" applyBorder="1" applyAlignment="1">
      <alignment horizontal="left" vertical="center"/>
    </xf>
    <xf numFmtId="0" fontId="2" fillId="0" borderId="7" xfId="0" applyFont="1" applyBorder="1" applyAlignment="1">
      <alignment vertical="center"/>
    </xf>
    <xf numFmtId="0" fontId="2" fillId="0" borderId="8" xfId="0" applyFont="1" applyBorder="1" applyAlignment="1">
      <alignment vertical="center"/>
    </xf>
    <xf numFmtId="0" fontId="3" fillId="5" borderId="1" xfId="0" applyFont="1" applyFill="1" applyBorder="1" applyAlignment="1">
      <alignment horizontal="left" vertical="center"/>
    </xf>
    <xf numFmtId="0" fontId="2" fillId="0" borderId="2" xfId="0" applyFont="1" applyBorder="1" applyAlignment="1">
      <alignment horizontal="left" vertical="center"/>
    </xf>
    <xf numFmtId="0" fontId="2" fillId="0" borderId="5" xfId="0" applyFont="1" applyBorder="1" applyAlignment="1">
      <alignment horizontal="left" vertical="center"/>
    </xf>
    <xf numFmtId="0" fontId="2" fillId="0" borderId="14" xfId="0" applyFont="1" applyBorder="1" applyAlignment="1">
      <alignment horizontal="left" vertical="center"/>
    </xf>
    <xf numFmtId="0" fontId="2" fillId="0" borderId="1" xfId="0" applyFont="1" applyBorder="1" applyAlignment="1">
      <alignment horizontal="left" vertical="center"/>
    </xf>
    <xf numFmtId="0" fontId="2" fillId="0" borderId="16" xfId="0" applyFont="1" applyBorder="1" applyAlignment="1">
      <alignment horizontal="left" vertical="center"/>
    </xf>
    <xf numFmtId="0" fontId="3" fillId="0" borderId="23" xfId="0" applyFont="1" applyBorder="1" applyAlignment="1">
      <alignment horizontal="left" vertical="center"/>
    </xf>
    <xf numFmtId="0" fontId="3" fillId="0" borderId="22" xfId="0" applyFont="1" applyBorder="1" applyAlignment="1">
      <alignment horizontal="left" vertical="center"/>
    </xf>
    <xf numFmtId="0" fontId="10" fillId="6" borderId="1" xfId="0" applyFont="1" applyFill="1" applyBorder="1" applyAlignment="1">
      <alignment horizontal="left" vertical="center"/>
    </xf>
    <xf numFmtId="0" fontId="2" fillId="0" borderId="7" xfId="0" applyFont="1" applyBorder="1" applyAlignment="1">
      <alignment horizontal="left" vertical="center"/>
    </xf>
    <xf numFmtId="0" fontId="2" fillId="0" borderId="5" xfId="0" applyFont="1" applyBorder="1" applyAlignment="1">
      <alignment horizontal="left" vertical="center" wrapText="1"/>
    </xf>
    <xf numFmtId="0" fontId="2" fillId="0" borderId="7" xfId="0" applyFont="1" applyBorder="1" applyAlignment="1">
      <alignment horizontal="left" vertical="center" wrapText="1"/>
    </xf>
    <xf numFmtId="0" fontId="2" fillId="0" borderId="18" xfId="0" applyFont="1" applyBorder="1" applyAlignment="1">
      <alignment horizontal="left" vertical="center" wrapText="1"/>
    </xf>
    <xf numFmtId="0" fontId="2" fillId="0" borderId="19" xfId="0" applyFont="1" applyBorder="1" applyAlignment="1">
      <alignment horizontal="left" vertical="center" wrapText="1"/>
    </xf>
    <xf numFmtId="0" fontId="2" fillId="0" borderId="17" xfId="0" applyFont="1" applyBorder="1" applyAlignment="1">
      <alignment horizontal="left" vertical="center" wrapText="1"/>
    </xf>
    <xf numFmtId="0" fontId="2" fillId="0" borderId="3" xfId="0" applyFont="1" applyBorder="1" applyAlignment="1">
      <alignment horizontal="left" vertical="center"/>
    </xf>
    <xf numFmtId="0" fontId="2" fillId="0" borderId="20" xfId="0" applyFont="1" applyBorder="1" applyAlignment="1">
      <alignment horizontal="left" vertical="center"/>
    </xf>
    <xf numFmtId="0" fontId="2" fillId="0" borderId="12" xfId="0" applyFont="1" applyBorder="1" applyAlignment="1">
      <alignment horizontal="left" vertical="center"/>
    </xf>
    <xf numFmtId="0" fontId="20" fillId="12" borderId="0" xfId="0" applyFont="1" applyFill="1" applyAlignment="1"/>
    <xf numFmtId="0" fontId="23" fillId="13" borderId="0" xfId="0" applyFont="1" applyFill="1" applyAlignment="1"/>
    <xf numFmtId="0" fontId="0" fillId="0" borderId="27" xfId="0" applyBorder="1" applyAlignment="1"/>
    <xf numFmtId="0" fontId="28" fillId="0" borderId="0" xfId="0" applyFont="1" applyAlignment="1"/>
    <xf numFmtId="0" fontId="0" fillId="0" borderId="32" xfId="0" applyBorder="1" applyAlignment="1"/>
    <xf numFmtId="0" fontId="0" fillId="0" borderId="0" xfId="0" applyAlignment="1"/>
  </cellXfs>
  <cellStyles count="3">
    <cellStyle name="Comma" xfId="2" builtinId="3"/>
    <cellStyle name="Currency" xfId="1" builtinId="4"/>
    <cellStyle name="Normal" xfId="0" builtinId="0"/>
  </cellStyles>
  <dxfs count="14">
    <dxf>
      <alignment wrapText="1"/>
    </dxf>
    <dxf>
      <alignment wrapText="1"/>
    </dxf>
    <dxf>
      <alignment wrapText="1"/>
    </dxf>
    <dxf>
      <alignment wrapText="1"/>
    </dxf>
    <dxf>
      <numFmt numFmtId="176" formatCode="dd/mm/yyyy"/>
    </dxf>
    <dxf>
      <numFmt numFmtId="176" formatCode="dd/mm/yyyy"/>
    </dxf>
    <dxf>
      <font>
        <b/>
        <i val="0"/>
        <strike val="0"/>
        <condense val="0"/>
        <extend val="0"/>
        <outline val="0"/>
        <shadow val="0"/>
        <u val="none"/>
        <vertAlign val="baseline"/>
        <sz val="11"/>
        <color indexed="8"/>
        <name val="Calibri"/>
        <family val="2"/>
        <scheme val="minor"/>
      </font>
    </dxf>
    <dxf>
      <fill>
        <patternFill patternType="solid">
          <fgColor rgb="FFC0E6F5"/>
          <bgColor rgb="FFC0E6F5"/>
        </patternFill>
      </fill>
    </dxf>
    <dxf>
      <fill>
        <patternFill patternType="solid">
          <fgColor rgb="FFC0E6F5"/>
          <bgColor rgb="FFC0E6F5"/>
        </patternFill>
      </fill>
    </dxf>
    <dxf>
      <font>
        <b/>
        <color rgb="FF000000"/>
      </font>
    </dxf>
    <dxf>
      <font>
        <b/>
        <color rgb="FF000000"/>
      </font>
    </dxf>
    <dxf>
      <font>
        <b/>
        <color rgb="FF000000"/>
      </font>
      <border>
        <top style="double">
          <color rgb="FF156082"/>
        </top>
      </border>
    </dxf>
    <dxf>
      <font>
        <b/>
        <color rgb="FFFFFFFF"/>
      </font>
      <fill>
        <patternFill patternType="solid">
          <fgColor rgb="FF156082"/>
          <bgColor rgb="FF156082"/>
        </patternFill>
      </fill>
    </dxf>
    <dxf>
      <font>
        <color rgb="FF000000"/>
      </font>
      <border>
        <left style="thin">
          <color rgb="FF44B3E1"/>
        </left>
        <right style="thin">
          <color rgb="FF44B3E1"/>
        </right>
        <top style="thin">
          <color rgb="FF44B3E1"/>
        </top>
        <bottom style="thin">
          <color rgb="FF44B3E1"/>
        </bottom>
        <horizontal style="thin">
          <color rgb="FF44B3E1"/>
        </horizontal>
      </border>
    </dxf>
  </dxfs>
  <tableStyles count="1" defaultTableStyle="TableStyleMedium2" defaultPivotStyle="PivotStyleLight16">
    <tableStyle name="TableStyleMedium2 2" pivot="0" count="7" xr9:uid="{2FC8BD7A-A9AA-4546-B361-4A755C132459}">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s>
  <colors>
    <mruColors>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porsche-my.sharepoint.com/personal/lukas_frank3_porsche_de/Documents/Microsoft%20Teams-Chatdateien/Budget_&#220;bersicht_Jahr_2026_Alle_Maerkte_EUR_inkl_Taycan%201.xlsx" TargetMode="External"/><Relationship Id="rId1" Type="http://schemas.openxmlformats.org/officeDocument/2006/relationships/externalLinkPath" Target="https://porsche-my.sharepoint.com/personal/lukas_frank3_porsche_de/Documents/Microsoft%20Teams-Chatdateien/Budget_&#220;bersicht_Jahr_2026_Alle_Maerkte_EUR_inkl_Tayca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s>
    <sheetDataSet>
      <sheetData sheetId="0">
        <row r="2">
          <cell r="E2">
            <v>47340.399309834858</v>
          </cell>
          <cell r="F2">
            <v>56232.026949305728</v>
          </cell>
          <cell r="I2">
            <v>26553.28239257251</v>
          </cell>
        </row>
        <row r="3">
          <cell r="E3">
            <v>711261.64267569862</v>
          </cell>
          <cell r="F3">
            <v>687673.88411757594</v>
          </cell>
          <cell r="I3">
            <v>470545.54251844692</v>
          </cell>
        </row>
        <row r="5">
          <cell r="E5">
            <v>197311.00149133871</v>
          </cell>
          <cell r="F5">
            <v>379717.79281863017</v>
          </cell>
          <cell r="I5">
            <v>532249.62716530915</v>
          </cell>
        </row>
        <row r="6">
          <cell r="E6">
            <v>9553.0910288788855</v>
          </cell>
          <cell r="F6">
            <v>274074.88744921488</v>
          </cell>
          <cell r="I6">
            <v>32831.887559020543</v>
          </cell>
        </row>
        <row r="7">
          <cell r="E7">
            <v>944405.96864572179</v>
          </cell>
          <cell r="F7">
            <v>245545.55184788769</v>
          </cell>
          <cell r="I7">
            <v>314801.98954857391</v>
          </cell>
        </row>
        <row r="8">
          <cell r="E8">
            <v>4042327.2445286922</v>
          </cell>
          <cell r="F8">
            <v>210222.29881095979</v>
          </cell>
          <cell r="I8">
            <v>374048.7678786834</v>
          </cell>
        </row>
        <row r="9">
          <cell r="E9">
            <v>477500</v>
          </cell>
          <cell r="F9">
            <v>694200</v>
          </cell>
          <cell r="I9">
            <v>754400</v>
          </cell>
        </row>
        <row r="10">
          <cell r="F10">
            <v>0</v>
          </cell>
          <cell r="I10">
            <v>65010.76</v>
          </cell>
        </row>
        <row r="11">
          <cell r="E11">
            <v>150000</v>
          </cell>
          <cell r="F11">
            <v>200000</v>
          </cell>
          <cell r="I11">
            <v>421000</v>
          </cell>
        </row>
        <row r="12">
          <cell r="E12">
            <v>0</v>
          </cell>
          <cell r="F12">
            <v>180144.48</v>
          </cell>
          <cell r="I12">
            <v>202952</v>
          </cell>
        </row>
        <row r="13">
          <cell r="E13">
            <v>13662.695376543879</v>
          </cell>
          <cell r="F13">
            <v>230134.44092250519</v>
          </cell>
          <cell r="I13">
            <v>100338.83484533829</v>
          </cell>
        </row>
        <row r="14">
          <cell r="E14">
            <v>0</v>
          </cell>
          <cell r="F14">
            <v>1034179.317579183</v>
          </cell>
          <cell r="I14">
            <v>0</v>
          </cell>
        </row>
        <row r="15">
          <cell r="E15">
            <v>0</v>
          </cell>
          <cell r="F15">
            <v>110681.424189892</v>
          </cell>
          <cell r="I15">
            <v>143485.79810641421</v>
          </cell>
        </row>
        <row r="16">
          <cell r="F16">
            <v>200000</v>
          </cell>
          <cell r="I16">
            <v>0</v>
          </cell>
        </row>
        <row r="17">
          <cell r="E17">
            <v>648664.41152455378</v>
          </cell>
          <cell r="F17">
            <v>845678.29231307586</v>
          </cell>
          <cell r="I17">
            <v>27761.57704420856</v>
          </cell>
        </row>
        <row r="18">
          <cell r="E18">
            <v>101502.1673845214</v>
          </cell>
          <cell r="F18">
            <v>86288.905943224003</v>
          </cell>
          <cell r="I18">
            <v>67638.042991794879</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D9B799-2BE5-48E1-A7D8-A9CC2CEA201F}" name="tblMassnahmen" displayName="tblMassnahmen" ref="A1:L65" totalsRowShown="0" headerRowDxfId="6">
  <autoFilter ref="A1:L65" xr:uid="{70D9B799-2BE5-48E1-A7D8-A9CC2CEA201F}">
    <filterColumn colId="0">
      <filters>
        <filter val="PCGB"/>
      </filters>
    </filterColumn>
  </autoFilter>
  <tableColumns count="12">
    <tableColumn id="1" xr3:uid="{738694AA-5EFE-4D8A-9DFE-21946250F093}" name="Market"/>
    <tableColumn id="2" xr3:uid="{70D3A3CB-AFA5-4162-80D2-6280EFC651AF}" name="Baureihe"/>
    <tableColumn id="3" xr3:uid="{5A2BA58F-3267-470C-8B2E-3350CDC0617C}" name="Maßnahme"/>
    <tableColumn id="4" xr3:uid="{AED8E1C6-2754-4DC7-947B-5FF1B81ABCDD}" name="Start" dataDxfId="5"/>
    <tableColumn id="5" xr3:uid="{7CC10100-F8AB-4639-BDBB-202076E9C546}" name="Ende" dataDxfId="4"/>
    <tableColumn id="6" xr3:uid="{AEFB675A-7CD1-470D-86C3-44E7A4115650}" name="Kanal"/>
    <tableColumn id="7" xr3:uid="{01810FE3-5C03-42C9-8969-F8BEE9CEB3AD}" name="Budget"/>
    <tableColumn id="8" xr3:uid="{A9359AA8-420B-4A3F-9754-DC16413F67EE}" name="KPI"/>
    <tableColumn id="9" xr3:uid="{6B12584A-9606-406D-9772-CA0F881C36F6}" name="Kanal Angaben" dataDxfId="3"/>
    <tableColumn id="10" xr3:uid="{3D017C1D-6A0D-4412-BF72-71FE4B9D19E9}" name="Key" dataDxfId="2"/>
    <tableColumn id="11" xr3:uid="{C2E4CB53-5C28-42D7-969E-B1AF71162DF1}" name="Audience Primär" dataDxfId="1"/>
    <tableColumn id="12" xr3:uid="{14114C6B-8EDF-4A60-BD2A-BAD11B748CDD}" name="Audience Sekundär"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40E11-2C38-496F-9965-3FB1F2BC3BFB}">
  <dimension ref="A1:AB109"/>
  <sheetViews>
    <sheetView zoomScaleNormal="100" workbookViewId="0">
      <pane ySplit="1" topLeftCell="A2" activePane="bottomLeft" state="frozen"/>
      <selection pane="bottomLeft" activeCell="I21" sqref="I21"/>
    </sheetView>
  </sheetViews>
  <sheetFormatPr defaultColWidth="11.42578125" defaultRowHeight="15"/>
  <cols>
    <col min="1" max="1" width="53.85546875" style="1" customWidth="1"/>
    <col min="2" max="2" width="17" style="1" customWidth="1"/>
    <col min="3" max="19" width="11.28515625" style="1" customWidth="1"/>
    <col min="20" max="20" width="13.5703125" style="100" customWidth="1"/>
    <col min="21" max="22" width="11.42578125" style="24" customWidth="1"/>
    <col min="23" max="23" width="14.28515625" style="24" customWidth="1"/>
    <col min="24" max="25" width="19" style="24" customWidth="1"/>
    <col min="26" max="26" width="11.42578125" style="24" customWidth="1"/>
    <col min="27" max="28" width="11.42578125" style="24"/>
    <col min="29" max="16384" width="11.42578125" style="1"/>
  </cols>
  <sheetData>
    <row r="1" spans="1:27" ht="17.25" customHeight="1">
      <c r="A1" s="54" t="s">
        <v>0</v>
      </c>
      <c r="B1" s="54" t="s">
        <v>1</v>
      </c>
      <c r="C1" s="55" t="s">
        <v>2</v>
      </c>
      <c r="D1" s="55" t="s">
        <v>3</v>
      </c>
      <c r="E1" s="55" t="s">
        <v>4</v>
      </c>
      <c r="F1" s="55" t="s">
        <v>5</v>
      </c>
      <c r="G1" s="55" t="s">
        <v>6</v>
      </c>
      <c r="H1" s="55" t="s">
        <v>7</v>
      </c>
      <c r="I1" s="55" t="s">
        <v>8</v>
      </c>
      <c r="J1" s="55" t="s">
        <v>9</v>
      </c>
      <c r="K1" s="55" t="s">
        <v>10</v>
      </c>
      <c r="L1" s="55" t="s">
        <v>11</v>
      </c>
      <c r="M1" s="55" t="s">
        <v>12</v>
      </c>
      <c r="N1" s="55" t="s">
        <v>13</v>
      </c>
      <c r="O1" s="55" t="s">
        <v>14</v>
      </c>
      <c r="P1" s="55" t="s">
        <v>15</v>
      </c>
      <c r="Q1" s="55" t="s">
        <v>16</v>
      </c>
      <c r="R1" s="55" t="s">
        <v>17</v>
      </c>
      <c r="S1" s="55" t="s">
        <v>18</v>
      </c>
      <c r="T1" s="142"/>
    </row>
    <row r="2" spans="1:27" ht="15" customHeight="1">
      <c r="A2" s="283" t="s">
        <v>19</v>
      </c>
      <c r="B2" s="7" t="s">
        <v>20</v>
      </c>
      <c r="C2" s="2">
        <v>1586</v>
      </c>
      <c r="D2" s="2">
        <v>2782</v>
      </c>
      <c r="E2" s="2" t="s">
        <v>21</v>
      </c>
      <c r="F2" s="2">
        <v>2109</v>
      </c>
      <c r="G2" s="2">
        <v>715</v>
      </c>
      <c r="H2" s="2">
        <v>403</v>
      </c>
      <c r="I2" s="2">
        <v>7059</v>
      </c>
      <c r="J2" s="2">
        <v>3577</v>
      </c>
      <c r="K2" s="2">
        <v>3964</v>
      </c>
      <c r="L2" s="2">
        <v>896</v>
      </c>
      <c r="M2" s="2">
        <v>4951</v>
      </c>
      <c r="N2" s="2"/>
      <c r="O2" s="2">
        <v>4904</v>
      </c>
      <c r="P2" s="2" t="s">
        <v>21</v>
      </c>
      <c r="Q2" s="2" t="s">
        <v>21</v>
      </c>
      <c r="R2" s="2"/>
      <c r="S2" s="3" t="s">
        <v>21</v>
      </c>
      <c r="T2" s="142"/>
    </row>
    <row r="3" spans="1:27" ht="15.75" customHeight="1">
      <c r="A3" s="283"/>
      <c r="B3" s="7" t="s">
        <v>22</v>
      </c>
      <c r="C3" s="4">
        <v>1245</v>
      </c>
      <c r="D3" s="4">
        <v>1499</v>
      </c>
      <c r="E3" s="4">
        <v>1069</v>
      </c>
      <c r="F3" s="4" t="s">
        <v>21</v>
      </c>
      <c r="G3" s="4">
        <v>2356</v>
      </c>
      <c r="H3" s="4" t="s">
        <v>21</v>
      </c>
      <c r="I3" s="4">
        <v>2145</v>
      </c>
      <c r="J3" s="4">
        <v>4133</v>
      </c>
      <c r="K3" s="4" t="s">
        <v>21</v>
      </c>
      <c r="L3" s="4" t="s">
        <v>21</v>
      </c>
      <c r="M3" s="4" t="s">
        <v>21</v>
      </c>
      <c r="N3" s="4" t="s">
        <v>21</v>
      </c>
      <c r="O3" s="4">
        <v>2540</v>
      </c>
      <c r="P3" s="4">
        <v>4290</v>
      </c>
      <c r="Q3" s="4" t="s">
        <v>21</v>
      </c>
      <c r="R3" s="4" t="s">
        <v>21</v>
      </c>
      <c r="S3" s="5">
        <v>916</v>
      </c>
      <c r="T3" s="142"/>
    </row>
    <row r="4" spans="1:27">
      <c r="A4" s="283"/>
      <c r="B4" s="7" t="s">
        <v>23</v>
      </c>
      <c r="C4" s="8">
        <f t="shared" ref="C4:M4" si="0">(AVERAGE(C2,C3))/4</f>
        <v>353.875</v>
      </c>
      <c r="D4" s="8">
        <f t="shared" si="0"/>
        <v>535.125</v>
      </c>
      <c r="E4" s="8">
        <f t="shared" si="0"/>
        <v>267.25</v>
      </c>
      <c r="F4" s="8">
        <f t="shared" si="0"/>
        <v>527.25</v>
      </c>
      <c r="G4" s="8">
        <f t="shared" si="0"/>
        <v>383.875</v>
      </c>
      <c r="H4" s="8">
        <f t="shared" si="0"/>
        <v>100.75</v>
      </c>
      <c r="I4" s="8">
        <f t="shared" si="0"/>
        <v>1150.5</v>
      </c>
      <c r="J4" s="8">
        <f t="shared" si="0"/>
        <v>963.75</v>
      </c>
      <c r="K4" s="8">
        <f t="shared" si="0"/>
        <v>991</v>
      </c>
      <c r="L4" s="8">
        <f t="shared" si="0"/>
        <v>224</v>
      </c>
      <c r="M4" s="8">
        <f t="shared" si="0"/>
        <v>1237.75</v>
      </c>
      <c r="N4" s="8">
        <f>272/4</f>
        <v>68</v>
      </c>
      <c r="O4" s="8">
        <f>(AVERAGE(O2,O3))/4</f>
        <v>930.5</v>
      </c>
      <c r="P4" s="8">
        <f>(AVERAGE(P2,P3))/4</f>
        <v>1072.5</v>
      </c>
      <c r="Q4" s="8">
        <f>AVERAGE(C4:P4,S4)</f>
        <v>602.3416666666667</v>
      </c>
      <c r="R4" s="8">
        <f>AVERAGE(C4:Q4,S4)</f>
        <v>602.3416666666667</v>
      </c>
      <c r="S4" s="9">
        <f>(AVERAGE(S2,S3))/4</f>
        <v>229</v>
      </c>
      <c r="T4" s="143" t="e">
        <f>(AVERAGE(T2,T3))/2</f>
        <v>#DIV/0!</v>
      </c>
      <c r="U4" s="30" t="e">
        <f>(AVERAGE(U2,U3))/2</f>
        <v>#DIV/0!</v>
      </c>
      <c r="V4" s="30" t="e">
        <f>(AVERAGE(V2,V3))/2</f>
        <v>#DIV/0!</v>
      </c>
    </row>
    <row r="5" spans="1:27">
      <c r="A5" s="283"/>
      <c r="B5" s="7" t="s">
        <v>24</v>
      </c>
      <c r="C5" s="8">
        <f>C2/4</f>
        <v>396.5</v>
      </c>
      <c r="D5" s="8">
        <f>D2/4</f>
        <v>695.5</v>
      </c>
      <c r="E5" s="8">
        <f>E4</f>
        <v>267.25</v>
      </c>
      <c r="F5" s="8">
        <f t="shared" ref="F5:O5" si="1">F2/4</f>
        <v>527.25</v>
      </c>
      <c r="G5" s="8">
        <f t="shared" si="1"/>
        <v>178.75</v>
      </c>
      <c r="H5" s="8">
        <f t="shared" si="1"/>
        <v>100.75</v>
      </c>
      <c r="I5" s="8">
        <f t="shared" si="1"/>
        <v>1764.75</v>
      </c>
      <c r="J5" s="8">
        <f t="shared" si="1"/>
        <v>894.25</v>
      </c>
      <c r="K5" s="8">
        <f t="shared" si="1"/>
        <v>991</v>
      </c>
      <c r="L5" s="8">
        <f t="shared" si="1"/>
        <v>224</v>
      </c>
      <c r="M5" s="8">
        <f t="shared" si="1"/>
        <v>1237.75</v>
      </c>
      <c r="N5" s="8">
        <f t="shared" si="1"/>
        <v>0</v>
      </c>
      <c r="O5" s="8">
        <f t="shared" si="1"/>
        <v>1226</v>
      </c>
      <c r="P5" s="8">
        <f>P3/4</f>
        <v>1072.5</v>
      </c>
      <c r="Q5" s="8"/>
      <c r="R5" s="8"/>
      <c r="S5" s="9">
        <f>AVERAGE(C5:P5)</f>
        <v>684.01785714285711</v>
      </c>
      <c r="T5" s="143"/>
      <c r="U5" s="30"/>
      <c r="V5" s="30"/>
    </row>
    <row r="6" spans="1:27">
      <c r="A6" s="283"/>
      <c r="B6" s="7" t="s">
        <v>25</v>
      </c>
      <c r="C6" s="8">
        <f>C3/4</f>
        <v>311.25</v>
      </c>
      <c r="D6" s="8">
        <f>D3/4</f>
        <v>374.75</v>
      </c>
      <c r="E6" s="8">
        <f>E3/4</f>
        <v>267.25</v>
      </c>
      <c r="F6" s="8">
        <f>F4</f>
        <v>527.25</v>
      </c>
      <c r="G6" s="8">
        <f>G3/4</f>
        <v>589</v>
      </c>
      <c r="H6" s="8">
        <f>H4</f>
        <v>100.75</v>
      </c>
      <c r="I6" s="8">
        <f>I3/4</f>
        <v>536.25</v>
      </c>
      <c r="J6" s="8">
        <f>J3/4</f>
        <v>1033.25</v>
      </c>
      <c r="K6" s="8">
        <f>K4</f>
        <v>991</v>
      </c>
      <c r="L6" s="8">
        <f>L4</f>
        <v>224</v>
      </c>
      <c r="M6" s="8">
        <f>M4</f>
        <v>1237.75</v>
      </c>
      <c r="N6" s="8">
        <v>0</v>
      </c>
      <c r="O6" s="8">
        <f>O3/4</f>
        <v>635</v>
      </c>
      <c r="P6" s="8">
        <f>P3/4</f>
        <v>1072.5</v>
      </c>
      <c r="Q6" s="8"/>
      <c r="R6" s="8"/>
      <c r="S6" s="9">
        <f>S3/4</f>
        <v>229</v>
      </c>
      <c r="T6" s="143"/>
      <c r="U6" s="30"/>
      <c r="V6" s="30"/>
    </row>
    <row r="7" spans="1:27" ht="15.75" thickBot="1">
      <c r="A7" s="284"/>
      <c r="B7" s="56" t="s">
        <v>26</v>
      </c>
      <c r="C7" s="57">
        <f t="shared" ref="C7:M7" si="2">AVERAGE(C2:C3)/4</f>
        <v>353.875</v>
      </c>
      <c r="D7" s="57">
        <f t="shared" si="2"/>
        <v>535.125</v>
      </c>
      <c r="E7" s="57">
        <f t="shared" si="2"/>
        <v>267.25</v>
      </c>
      <c r="F7" s="57">
        <f t="shared" si="2"/>
        <v>527.25</v>
      </c>
      <c r="G7" s="57">
        <f t="shared" si="2"/>
        <v>383.875</v>
      </c>
      <c r="H7" s="57">
        <f t="shared" si="2"/>
        <v>100.75</v>
      </c>
      <c r="I7" s="57">
        <f t="shared" si="2"/>
        <v>1150.5</v>
      </c>
      <c r="J7" s="57">
        <f t="shared" si="2"/>
        <v>963.75</v>
      </c>
      <c r="K7" s="57">
        <f t="shared" si="2"/>
        <v>991</v>
      </c>
      <c r="L7" s="57">
        <f t="shared" si="2"/>
        <v>224</v>
      </c>
      <c r="M7" s="57">
        <f t="shared" si="2"/>
        <v>1237.75</v>
      </c>
      <c r="N7" s="57">
        <f>AVERAGE(E7,H7,L7,R7,S7)</f>
        <v>205.25</v>
      </c>
      <c r="O7" s="57">
        <f>AVERAGE(O2:O3)/4</f>
        <v>930.5</v>
      </c>
      <c r="P7" s="57">
        <f>AVERAGE(P2:P3)/4</f>
        <v>1072.5</v>
      </c>
      <c r="Q7" s="57"/>
      <c r="R7" s="57"/>
      <c r="S7" s="57">
        <f>AVERAGE(S2:S3)/4</f>
        <v>229</v>
      </c>
      <c r="T7" s="143"/>
      <c r="U7" s="30"/>
      <c r="V7" s="30"/>
    </row>
    <row r="8" spans="1:27">
      <c r="A8" s="285" t="s">
        <v>27</v>
      </c>
      <c r="B8" s="29" t="s">
        <v>20</v>
      </c>
      <c r="C8" s="6">
        <v>5457</v>
      </c>
      <c r="D8" s="6">
        <v>4700</v>
      </c>
      <c r="E8" s="6">
        <v>1500</v>
      </c>
      <c r="F8" s="6">
        <v>1607</v>
      </c>
      <c r="G8" s="6">
        <v>1655</v>
      </c>
      <c r="H8" s="6">
        <v>388</v>
      </c>
      <c r="I8" s="6">
        <v>606</v>
      </c>
      <c r="J8" s="6">
        <f>1100*0.7</f>
        <v>770</v>
      </c>
      <c r="K8" s="6">
        <v>629</v>
      </c>
      <c r="L8" s="6">
        <f>J8/0.7*0.3</f>
        <v>330</v>
      </c>
      <c r="M8" s="6">
        <v>658</v>
      </c>
      <c r="N8" s="6">
        <v>573</v>
      </c>
      <c r="O8" s="6">
        <v>563</v>
      </c>
      <c r="P8" s="6">
        <v>374</v>
      </c>
      <c r="Q8" s="6">
        <v>862</v>
      </c>
      <c r="R8" s="6">
        <v>1356</v>
      </c>
      <c r="S8" s="6">
        <v>5358</v>
      </c>
      <c r="T8" s="143"/>
      <c r="U8" s="30"/>
      <c r="V8" s="30"/>
    </row>
    <row r="9" spans="1:27">
      <c r="A9" s="286"/>
      <c r="B9" s="7" t="s">
        <v>22</v>
      </c>
      <c r="C9" s="6">
        <v>2622</v>
      </c>
      <c r="D9" s="6">
        <v>3800</v>
      </c>
      <c r="E9" s="6">
        <v>826</v>
      </c>
      <c r="F9" s="6">
        <v>450</v>
      </c>
      <c r="G9" s="6">
        <v>1920</v>
      </c>
      <c r="H9" s="6">
        <v>136</v>
      </c>
      <c r="I9" s="6">
        <v>2242</v>
      </c>
      <c r="J9" s="6">
        <f>1178*0.7</f>
        <v>824.59999999999991</v>
      </c>
      <c r="K9" s="6">
        <v>19</v>
      </c>
      <c r="L9" s="6">
        <f>J9/0.7*0.3</f>
        <v>353.4</v>
      </c>
      <c r="M9" s="6">
        <v>738</v>
      </c>
      <c r="N9" s="6">
        <v>1348</v>
      </c>
      <c r="O9" s="6">
        <v>1679</v>
      </c>
      <c r="P9" s="6">
        <v>1366</v>
      </c>
      <c r="Q9" s="6">
        <v>586</v>
      </c>
      <c r="R9" s="6">
        <v>1760</v>
      </c>
      <c r="S9" s="6">
        <v>20820</v>
      </c>
      <c r="T9" s="143"/>
      <c r="U9" s="30"/>
      <c r="V9" s="30"/>
    </row>
    <row r="10" spans="1:27" ht="15.75" thickBot="1">
      <c r="A10" s="286"/>
      <c r="B10" s="10" t="s">
        <v>28</v>
      </c>
      <c r="C10" s="44">
        <v>2068</v>
      </c>
      <c r="D10" s="44">
        <v>2200</v>
      </c>
      <c r="E10" s="44">
        <v>2000</v>
      </c>
      <c r="F10" s="44">
        <v>800</v>
      </c>
      <c r="G10" s="44">
        <v>410</v>
      </c>
      <c r="H10" s="44">
        <v>383</v>
      </c>
      <c r="I10" s="44">
        <v>298</v>
      </c>
      <c r="J10" s="44">
        <f>800*0.7</f>
        <v>560</v>
      </c>
      <c r="K10" s="44">
        <v>529</v>
      </c>
      <c r="L10" s="44">
        <f>J10/0.7*0.3</f>
        <v>240</v>
      </c>
      <c r="M10" s="44">
        <v>328</v>
      </c>
      <c r="N10" s="44">
        <v>535</v>
      </c>
      <c r="O10" s="44">
        <v>368</v>
      </c>
      <c r="P10" s="44">
        <v>218</v>
      </c>
      <c r="Q10" s="44">
        <v>357</v>
      </c>
      <c r="R10" s="44">
        <v>295</v>
      </c>
      <c r="S10" s="45">
        <v>3440</v>
      </c>
      <c r="T10" s="142"/>
      <c r="U10" s="24" t="s">
        <v>9</v>
      </c>
      <c r="V10" s="24" t="s">
        <v>11</v>
      </c>
      <c r="W10" s="31">
        <f>SUM(C10:S10)-S10</f>
        <v>11589</v>
      </c>
      <c r="X10" s="34">
        <f>SUM(SUM(C10:V10))</f>
        <v>15029</v>
      </c>
      <c r="Y10" s="35">
        <f>X10/X14</f>
        <v>1</v>
      </c>
      <c r="Z10" s="36" t="e">
        <f>Y10+#REF!/2</f>
        <v>#REF!</v>
      </c>
      <c r="AA10" s="31">
        <f>W10-H10</f>
        <v>11206</v>
      </c>
    </row>
    <row r="11" spans="1:27">
      <c r="A11" s="285" t="s">
        <v>29</v>
      </c>
      <c r="B11" s="29" t="s">
        <v>20</v>
      </c>
      <c r="C11" s="19">
        <f t="shared" ref="C11:P11" si="3">C8*$C$20</f>
        <v>818.55</v>
      </c>
      <c r="D11" s="19">
        <f t="shared" si="3"/>
        <v>705</v>
      </c>
      <c r="E11" s="19">
        <f t="shared" si="3"/>
        <v>225</v>
      </c>
      <c r="F11" s="19">
        <f t="shared" si="3"/>
        <v>241.04999999999998</v>
      </c>
      <c r="G11" s="19">
        <f t="shared" si="3"/>
        <v>248.25</v>
      </c>
      <c r="H11" s="19">
        <f t="shared" si="3"/>
        <v>58.199999999999996</v>
      </c>
      <c r="I11" s="19">
        <f t="shared" si="3"/>
        <v>90.899999999999991</v>
      </c>
      <c r="J11" s="19">
        <f t="shared" si="3"/>
        <v>115.5</v>
      </c>
      <c r="K11" s="19">
        <f t="shared" si="3"/>
        <v>94.35</v>
      </c>
      <c r="L11" s="19">
        <f t="shared" si="3"/>
        <v>49.5</v>
      </c>
      <c r="M11" s="19">
        <f t="shared" si="3"/>
        <v>98.7</v>
      </c>
      <c r="N11" s="19">
        <f t="shared" si="3"/>
        <v>85.95</v>
      </c>
      <c r="O11" s="19">
        <f t="shared" si="3"/>
        <v>84.45</v>
      </c>
      <c r="P11" s="19">
        <f t="shared" si="3"/>
        <v>56.1</v>
      </c>
      <c r="Q11" s="19">
        <f t="shared" ref="Q11:S11" si="4">Q8*$C$20</f>
        <v>129.29999999999998</v>
      </c>
      <c r="R11" s="19">
        <f t="shared" si="4"/>
        <v>203.4</v>
      </c>
      <c r="S11" s="19">
        <f t="shared" si="4"/>
        <v>803.69999999999993</v>
      </c>
      <c r="T11" s="142"/>
      <c r="W11" s="31"/>
      <c r="X11" s="34"/>
      <c r="Y11" s="35"/>
      <c r="Z11" s="36"/>
      <c r="AA11" s="31"/>
    </row>
    <row r="12" spans="1:27">
      <c r="A12" s="286"/>
      <c r="B12" s="7" t="s">
        <v>22</v>
      </c>
      <c r="C12" s="6">
        <f t="shared" ref="C12:P12" si="5">C9*$C$20</f>
        <v>393.3</v>
      </c>
      <c r="D12" s="6">
        <f t="shared" si="5"/>
        <v>570</v>
      </c>
      <c r="E12" s="6">
        <f t="shared" si="5"/>
        <v>123.89999999999999</v>
      </c>
      <c r="F12" s="6">
        <f t="shared" si="5"/>
        <v>67.5</v>
      </c>
      <c r="G12" s="6">
        <f t="shared" si="5"/>
        <v>288</v>
      </c>
      <c r="H12" s="6">
        <f t="shared" si="5"/>
        <v>20.399999999999999</v>
      </c>
      <c r="I12" s="6">
        <f t="shared" si="5"/>
        <v>336.3</v>
      </c>
      <c r="J12" s="6">
        <f t="shared" si="5"/>
        <v>123.68999999999998</v>
      </c>
      <c r="K12" s="6">
        <f t="shared" si="5"/>
        <v>2.85</v>
      </c>
      <c r="L12" s="6">
        <f t="shared" si="5"/>
        <v>53.01</v>
      </c>
      <c r="M12" s="6">
        <f t="shared" si="5"/>
        <v>110.7</v>
      </c>
      <c r="N12" s="6">
        <f t="shared" si="5"/>
        <v>202.2</v>
      </c>
      <c r="O12" s="6">
        <f t="shared" si="5"/>
        <v>251.85</v>
      </c>
      <c r="P12" s="6">
        <f t="shared" si="5"/>
        <v>204.9</v>
      </c>
      <c r="Q12" s="6">
        <f t="shared" ref="Q12:S12" si="6">Q9*$C$20</f>
        <v>87.899999999999991</v>
      </c>
      <c r="R12" s="6">
        <f t="shared" si="6"/>
        <v>264</v>
      </c>
      <c r="S12" s="6">
        <f t="shared" si="6"/>
        <v>3123</v>
      </c>
      <c r="T12" s="142"/>
      <c r="W12" s="31"/>
      <c r="X12" s="34"/>
      <c r="Y12" s="35"/>
      <c r="Z12" s="36"/>
      <c r="AA12" s="31"/>
    </row>
    <row r="13" spans="1:27" ht="15.75" thickBot="1">
      <c r="A13" s="287"/>
      <c r="B13" s="43" t="s">
        <v>28</v>
      </c>
      <c r="C13" s="20">
        <f t="shared" ref="C13:P13" si="7">C10*$C$20</f>
        <v>310.2</v>
      </c>
      <c r="D13" s="20">
        <f t="shared" si="7"/>
        <v>330</v>
      </c>
      <c r="E13" s="20">
        <f t="shared" si="7"/>
        <v>300</v>
      </c>
      <c r="F13" s="20">
        <f t="shared" si="7"/>
        <v>120</v>
      </c>
      <c r="G13" s="20">
        <f t="shared" si="7"/>
        <v>61.5</v>
      </c>
      <c r="H13" s="20">
        <f t="shared" si="7"/>
        <v>57.449999999999996</v>
      </c>
      <c r="I13" s="20">
        <f t="shared" si="7"/>
        <v>44.699999999999996</v>
      </c>
      <c r="J13" s="20">
        <f t="shared" si="7"/>
        <v>84</v>
      </c>
      <c r="K13" s="20">
        <f t="shared" si="7"/>
        <v>79.349999999999994</v>
      </c>
      <c r="L13" s="20">
        <f t="shared" si="7"/>
        <v>36</v>
      </c>
      <c r="M13" s="20">
        <f t="shared" si="7"/>
        <v>49.199999999999996</v>
      </c>
      <c r="N13" s="20">
        <f t="shared" si="7"/>
        <v>80.25</v>
      </c>
      <c r="O13" s="20">
        <f t="shared" si="7"/>
        <v>55.199999999999996</v>
      </c>
      <c r="P13" s="20">
        <f t="shared" si="7"/>
        <v>32.699999999999996</v>
      </c>
      <c r="Q13" s="20">
        <f t="shared" ref="Q13:S13" si="8">Q10*$C$20</f>
        <v>53.55</v>
      </c>
      <c r="R13" s="20">
        <f t="shared" si="8"/>
        <v>44.25</v>
      </c>
      <c r="S13" s="20">
        <f t="shared" si="8"/>
        <v>516</v>
      </c>
      <c r="T13" s="142"/>
      <c r="W13" s="31"/>
      <c r="X13" s="34"/>
      <c r="Y13" s="35"/>
      <c r="Z13" s="36"/>
      <c r="AA13" s="31"/>
    </row>
    <row r="14" spans="1:27">
      <c r="A14" s="269" t="s">
        <v>30</v>
      </c>
      <c r="B14" s="42" t="s">
        <v>20</v>
      </c>
      <c r="C14" s="59">
        <f>[1]Übersicht!$I$5</f>
        <v>532249.62716530915</v>
      </c>
      <c r="D14" s="59">
        <f>[1]Übersicht!$I$9</f>
        <v>754400</v>
      </c>
      <c r="E14" s="58">
        <f>[1]Übersicht!$I$14</f>
        <v>0</v>
      </c>
      <c r="F14" s="58">
        <f>[1]Übersicht!$I$16</f>
        <v>0</v>
      </c>
      <c r="G14" s="58">
        <f>[1]Übersicht!$I$12</f>
        <v>202952</v>
      </c>
      <c r="H14" s="58">
        <v>0</v>
      </c>
      <c r="I14" s="59">
        <f>[1]Übersicht!$I$7</f>
        <v>314801.98954857391</v>
      </c>
      <c r="J14" s="59">
        <f>[1]Übersicht!$I$11</f>
        <v>421000</v>
      </c>
      <c r="K14" s="59">
        <f>[1]Übersicht!$I$15</f>
        <v>143485.79810641421</v>
      </c>
      <c r="L14" s="59">
        <f>[1]Übersicht!$I$10</f>
        <v>65010.76</v>
      </c>
      <c r="M14" s="59">
        <f>[1]Übersicht!$I$6</f>
        <v>32831.887559020543</v>
      </c>
      <c r="N14" s="59">
        <f>[1]Übersicht!$I$18</f>
        <v>67638.042991794879</v>
      </c>
      <c r="O14" s="59">
        <f>[1]Übersicht!$I$3</f>
        <v>470545.54251844692</v>
      </c>
      <c r="P14" s="59">
        <f>[1]Übersicht!$I$17</f>
        <v>27761.57704420856</v>
      </c>
      <c r="Q14" s="59">
        <f>[1]Übersicht!$I$13</f>
        <v>100338.83484533829</v>
      </c>
      <c r="R14" s="59">
        <f>[1]Übersicht!$I$2</f>
        <v>26553.28239257251</v>
      </c>
      <c r="S14" s="60">
        <f>[1]Übersicht!$I$8</f>
        <v>374048.7678786834</v>
      </c>
      <c r="T14" s="144">
        <f>J16+L16</f>
        <v>200000</v>
      </c>
      <c r="U14" s="37">
        <f>J16/T14</f>
        <v>1</v>
      </c>
      <c r="V14" s="37">
        <f>L16/T14</f>
        <v>0</v>
      </c>
      <c r="X14" s="38">
        <f>SUM(SUM(X10:X10))</f>
        <v>15029</v>
      </c>
      <c r="Y14" s="32"/>
    </row>
    <row r="15" spans="1:27">
      <c r="A15" s="275"/>
      <c r="B15" s="7" t="s">
        <v>22</v>
      </c>
      <c r="C15" s="11">
        <f>[1]Übersicht!$E$5</f>
        <v>197311.00149133871</v>
      </c>
      <c r="D15" s="11">
        <f>[1]Übersicht!$E$9</f>
        <v>477500</v>
      </c>
      <c r="E15" s="11">
        <f>[1]Übersicht!$E$14</f>
        <v>0</v>
      </c>
      <c r="F15" s="11">
        <v>0</v>
      </c>
      <c r="G15" s="11">
        <f>[1]Übersicht!$E$12</f>
        <v>0</v>
      </c>
      <c r="H15" s="11">
        <v>0</v>
      </c>
      <c r="I15" s="11">
        <f>[1]Übersicht!$E$7</f>
        <v>944405.96864572179</v>
      </c>
      <c r="J15" s="11">
        <f>[1]Übersicht!$E$11</f>
        <v>150000</v>
      </c>
      <c r="K15" s="11">
        <f>[1]Übersicht!$E$15</f>
        <v>0</v>
      </c>
      <c r="L15" s="11">
        <v>0</v>
      </c>
      <c r="M15" s="11">
        <f>[1]Übersicht!$E$6</f>
        <v>9553.0910288788855</v>
      </c>
      <c r="N15" s="11">
        <f>[1]Übersicht!$E$18</f>
        <v>101502.1673845214</v>
      </c>
      <c r="O15" s="11">
        <f>[1]Übersicht!$E$3</f>
        <v>711261.64267569862</v>
      </c>
      <c r="P15" s="11">
        <f>[1]Übersicht!$E$17</f>
        <v>648664.41152455378</v>
      </c>
      <c r="Q15" s="11">
        <f>[1]Übersicht!$E$13</f>
        <v>13662.695376543879</v>
      </c>
      <c r="R15" s="11">
        <f>[1]Übersicht!$E$2</f>
        <v>47340.399309834858</v>
      </c>
      <c r="S15" s="48">
        <f>[1]Übersicht!$E$8</f>
        <v>4042327.2445286922</v>
      </c>
      <c r="T15" s="144"/>
      <c r="U15" s="37"/>
      <c r="V15" s="37"/>
      <c r="X15" s="38"/>
      <c r="Y15" s="32"/>
    </row>
    <row r="16" spans="1:27" ht="15.75" thickBot="1">
      <c r="A16" s="282"/>
      <c r="B16" s="43" t="s">
        <v>28</v>
      </c>
      <c r="C16" s="49">
        <f>[1]Übersicht!$F$5</f>
        <v>379717.79281863017</v>
      </c>
      <c r="D16" s="49">
        <f>[1]Übersicht!$F$9</f>
        <v>694200</v>
      </c>
      <c r="E16" s="49">
        <f>[1]Übersicht!$F$14</f>
        <v>1034179.317579183</v>
      </c>
      <c r="F16" s="49">
        <f>[1]Übersicht!$F$16</f>
        <v>200000</v>
      </c>
      <c r="G16" s="49">
        <f>[1]Übersicht!$F$12</f>
        <v>180144.48</v>
      </c>
      <c r="H16" s="49">
        <f>346667/3</f>
        <v>115555.66666666667</v>
      </c>
      <c r="I16" s="49">
        <f>[1]Übersicht!$F$7</f>
        <v>245545.55184788769</v>
      </c>
      <c r="J16" s="49">
        <f>[1]Übersicht!$F$11</f>
        <v>200000</v>
      </c>
      <c r="K16" s="49">
        <f>[1]Übersicht!$F$15</f>
        <v>110681.424189892</v>
      </c>
      <c r="L16" s="49">
        <f>[1]Übersicht!$F$10</f>
        <v>0</v>
      </c>
      <c r="M16" s="49">
        <f>[1]Übersicht!$F$6</f>
        <v>274074.88744921488</v>
      </c>
      <c r="N16" s="49">
        <f>[1]Übersicht!$F$18</f>
        <v>86288.905943224003</v>
      </c>
      <c r="O16" s="49">
        <f>[1]Übersicht!$F$3</f>
        <v>687673.88411757594</v>
      </c>
      <c r="P16" s="49">
        <f>[1]Übersicht!$F$17</f>
        <v>845678.29231307586</v>
      </c>
      <c r="Q16" s="49">
        <f>[1]Übersicht!$F$13</f>
        <v>230134.44092250519</v>
      </c>
      <c r="R16" s="49">
        <f>[1]Übersicht!$F$2</f>
        <v>56232.026949305728</v>
      </c>
      <c r="S16" s="50">
        <f>[1]Übersicht!$F$8</f>
        <v>210222.29881095979</v>
      </c>
      <c r="T16" s="144"/>
      <c r="U16" s="37"/>
      <c r="V16" s="37"/>
      <c r="X16" s="38"/>
      <c r="Y16" s="32"/>
    </row>
    <row r="17" spans="1:25">
      <c r="A17" s="274" t="s">
        <v>31</v>
      </c>
      <c r="B17" s="288"/>
      <c r="C17" s="68">
        <v>3282787</v>
      </c>
      <c r="D17" s="68">
        <v>4220000</v>
      </c>
      <c r="E17" s="68">
        <v>1924837</v>
      </c>
      <c r="F17" s="68">
        <v>1388000</v>
      </c>
      <c r="G17" s="68">
        <v>1502000</v>
      </c>
      <c r="H17" s="68">
        <v>346667</v>
      </c>
      <c r="I17" s="68">
        <v>2679368</v>
      </c>
      <c r="J17" s="68">
        <v>851861</v>
      </c>
      <c r="K17" s="68">
        <v>647059</v>
      </c>
      <c r="L17" s="68">
        <v>350000</v>
      </c>
      <c r="M17" s="68">
        <v>1251505</v>
      </c>
      <c r="N17" s="68">
        <v>988533</v>
      </c>
      <c r="O17" s="68">
        <v>3395262</v>
      </c>
      <c r="P17" s="68">
        <v>1961839</v>
      </c>
      <c r="Q17" s="68">
        <v>1128085</v>
      </c>
      <c r="R17" s="68">
        <v>337000</v>
      </c>
      <c r="S17" s="69">
        <v>20612760</v>
      </c>
      <c r="T17" s="101">
        <f>SUM(C17:S17)</f>
        <v>46867563</v>
      </c>
      <c r="U17" s="37"/>
      <c r="V17" s="37"/>
      <c r="X17" s="38"/>
      <c r="Y17" s="32"/>
    </row>
    <row r="18" spans="1:25">
      <c r="A18" s="289" t="s">
        <v>32</v>
      </c>
      <c r="B18" s="290"/>
      <c r="C18" s="46">
        <f>(SUM(C14:C16)/C17)</f>
        <v>0.33790752232029614</v>
      </c>
      <c r="D18" s="46">
        <f t="shared" ref="D18:S18" si="9">(SUM(D14:D16)/D17)</f>
        <v>0.45642180094786727</v>
      </c>
      <c r="E18" s="46">
        <f t="shared" si="9"/>
        <v>0.53728150361780402</v>
      </c>
      <c r="F18" s="46">
        <f t="shared" si="9"/>
        <v>0.14409221902017291</v>
      </c>
      <c r="G18" s="46">
        <f t="shared" si="9"/>
        <v>0.25505757656458056</v>
      </c>
      <c r="H18" s="46">
        <f t="shared" si="9"/>
        <v>0.33333333333333337</v>
      </c>
      <c r="I18" s="46">
        <f t="shared" si="9"/>
        <v>0.56160762912828077</v>
      </c>
      <c r="J18" s="46">
        <f t="shared" si="9"/>
        <v>0.90507723677923979</v>
      </c>
      <c r="K18" s="46">
        <f t="shared" si="9"/>
        <v>0.3928037818750782</v>
      </c>
      <c r="L18" s="46">
        <f t="shared" si="9"/>
        <v>0.18574502857142858</v>
      </c>
      <c r="M18" s="46">
        <f t="shared" si="9"/>
        <v>0.25286344524162052</v>
      </c>
      <c r="N18" s="46">
        <f t="shared" si="9"/>
        <v>0.25839209851319106</v>
      </c>
      <c r="O18" s="46">
        <f t="shared" si="9"/>
        <v>0.55061467106565598</v>
      </c>
      <c r="P18" s="46">
        <f t="shared" si="9"/>
        <v>0.77585585814220137</v>
      </c>
      <c r="Q18" s="46">
        <f t="shared" si="9"/>
        <v>0.30506209296674219</v>
      </c>
      <c r="R18" s="46">
        <f t="shared" si="9"/>
        <v>0.38612969926324359</v>
      </c>
      <c r="S18" s="47">
        <f t="shared" si="9"/>
        <v>0.22445312084448349</v>
      </c>
      <c r="T18" s="144"/>
      <c r="U18" s="37"/>
      <c r="V18" s="37"/>
      <c r="X18" s="38"/>
      <c r="Y18" s="32"/>
    </row>
    <row r="19" spans="1:25">
      <c r="A19" s="78" t="s">
        <v>33</v>
      </c>
      <c r="B19" s="79"/>
      <c r="C19" s="46">
        <f>60%-C18</f>
        <v>0.26209247767970384</v>
      </c>
      <c r="D19" s="46">
        <f t="shared" ref="D19:S19" si="10">60%-D18</f>
        <v>0.1435781990521327</v>
      </c>
      <c r="E19" s="46">
        <f t="shared" si="10"/>
        <v>6.2718496382195954E-2</v>
      </c>
      <c r="F19" s="46">
        <f t="shared" si="10"/>
        <v>0.45590778097982709</v>
      </c>
      <c r="G19" s="46">
        <f t="shared" si="10"/>
        <v>0.34494242343541942</v>
      </c>
      <c r="H19" s="46">
        <f t="shared" si="10"/>
        <v>0.26666666666666661</v>
      </c>
      <c r="I19" s="46">
        <f t="shared" si="10"/>
        <v>3.8392370871719206E-2</v>
      </c>
      <c r="J19" s="46">
        <f t="shared" si="10"/>
        <v>-0.30507723677923981</v>
      </c>
      <c r="K19" s="46">
        <f t="shared" si="10"/>
        <v>0.20719621812492178</v>
      </c>
      <c r="L19" s="46">
        <f t="shared" si="10"/>
        <v>0.41425497142857137</v>
      </c>
      <c r="M19" s="46">
        <f t="shared" si="10"/>
        <v>0.34713655475837946</v>
      </c>
      <c r="N19" s="46">
        <f t="shared" si="10"/>
        <v>0.34160790148680892</v>
      </c>
      <c r="O19" s="46">
        <f t="shared" si="10"/>
        <v>4.9385328934343997E-2</v>
      </c>
      <c r="P19" s="46">
        <f t="shared" si="10"/>
        <v>-0.17585585814220139</v>
      </c>
      <c r="Q19" s="46">
        <f t="shared" si="10"/>
        <v>0.29493790703325778</v>
      </c>
      <c r="R19" s="46">
        <f t="shared" si="10"/>
        <v>0.21387030073675639</v>
      </c>
      <c r="S19" s="46">
        <f t="shared" si="10"/>
        <v>0.37554687915551649</v>
      </c>
      <c r="T19" s="144"/>
      <c r="U19" s="37"/>
      <c r="V19" s="37"/>
      <c r="X19" s="38"/>
      <c r="Y19" s="32"/>
    </row>
    <row r="20" spans="1:25">
      <c r="A20" s="269" t="s">
        <v>34</v>
      </c>
      <c r="B20" s="270"/>
      <c r="C20" s="46">
        <v>0.15</v>
      </c>
      <c r="D20" s="46">
        <v>0.15</v>
      </c>
      <c r="E20" s="46">
        <v>0.15</v>
      </c>
      <c r="F20" s="46">
        <v>0.15</v>
      </c>
      <c r="G20" s="46">
        <v>0.15</v>
      </c>
      <c r="H20" s="46">
        <v>0.15</v>
      </c>
      <c r="I20" s="46">
        <v>0.15</v>
      </c>
      <c r="J20" s="46">
        <v>0.15</v>
      </c>
      <c r="K20" s="46">
        <v>0.15</v>
      </c>
      <c r="L20" s="46">
        <v>0.15</v>
      </c>
      <c r="M20" s="46">
        <v>0.15</v>
      </c>
      <c r="N20" s="46">
        <v>0.15</v>
      </c>
      <c r="O20" s="46">
        <v>0.15</v>
      </c>
      <c r="P20" s="46">
        <v>0.15</v>
      </c>
      <c r="Q20" s="46">
        <v>0.15</v>
      </c>
      <c r="R20" s="46">
        <v>0.15</v>
      </c>
      <c r="S20" s="47">
        <v>0.15</v>
      </c>
      <c r="T20" s="145">
        <v>0.2</v>
      </c>
      <c r="U20" s="39">
        <v>0.2</v>
      </c>
      <c r="V20" s="39">
        <v>0.2</v>
      </c>
    </row>
    <row r="21" spans="1:25" ht="15.75" thickBot="1">
      <c r="A21" s="271" t="s">
        <v>35</v>
      </c>
      <c r="B21" s="272"/>
      <c r="C21" s="71">
        <v>0.26</v>
      </c>
      <c r="D21" s="71">
        <v>0.27</v>
      </c>
      <c r="E21" s="71">
        <v>0.19</v>
      </c>
      <c r="F21" s="71">
        <v>0.12</v>
      </c>
      <c r="G21" s="71">
        <v>0.12</v>
      </c>
      <c r="H21" s="71">
        <v>0.19</v>
      </c>
      <c r="I21" s="71">
        <v>0.36</v>
      </c>
      <c r="J21" s="71">
        <v>0.1</v>
      </c>
      <c r="K21" s="71">
        <v>0.12</v>
      </c>
      <c r="L21" s="71">
        <v>0.19</v>
      </c>
      <c r="M21" s="71">
        <v>0.19</v>
      </c>
      <c r="N21" s="71">
        <v>0.19</v>
      </c>
      <c r="O21" s="71">
        <v>0.12</v>
      </c>
      <c r="P21" s="71">
        <v>0.19</v>
      </c>
      <c r="Q21" s="71">
        <v>0.19</v>
      </c>
      <c r="R21" s="71">
        <v>0.19</v>
      </c>
      <c r="S21" s="72">
        <v>0.19</v>
      </c>
      <c r="T21" s="142"/>
      <c r="W21" s="39">
        <f>AVERAGE(C21:S21)</f>
        <v>0.18705882352941175</v>
      </c>
    </row>
    <row r="22" spans="1:25">
      <c r="A22" s="274" t="s">
        <v>36</v>
      </c>
      <c r="B22" s="29" t="s">
        <v>20</v>
      </c>
      <c r="C22" s="17">
        <f>C11/C21</f>
        <v>3148.2692307692305</v>
      </c>
      <c r="D22" s="17">
        <f t="shared" ref="D22:S22" si="11">D11/D21</f>
        <v>2611.1111111111109</v>
      </c>
      <c r="E22" s="17">
        <f t="shared" si="11"/>
        <v>1184.2105263157894</v>
      </c>
      <c r="F22" s="17">
        <f t="shared" si="11"/>
        <v>2008.75</v>
      </c>
      <c r="G22" s="17">
        <f t="shared" si="11"/>
        <v>2068.75</v>
      </c>
      <c r="H22" s="17">
        <f t="shared" si="11"/>
        <v>306.31578947368416</v>
      </c>
      <c r="I22" s="17">
        <f t="shared" si="11"/>
        <v>252.49999999999997</v>
      </c>
      <c r="J22" s="17">
        <f t="shared" si="11"/>
        <v>1155</v>
      </c>
      <c r="K22" s="17">
        <f t="shared" si="11"/>
        <v>786.25</v>
      </c>
      <c r="L22" s="17">
        <f t="shared" si="11"/>
        <v>260.5263157894737</v>
      </c>
      <c r="M22" s="17">
        <f t="shared" si="11"/>
        <v>519.47368421052636</v>
      </c>
      <c r="N22" s="17">
        <f t="shared" si="11"/>
        <v>452.36842105263156</v>
      </c>
      <c r="O22" s="17">
        <f t="shared" si="11"/>
        <v>703.75</v>
      </c>
      <c r="P22" s="17">
        <f t="shared" si="11"/>
        <v>295.26315789473682</v>
      </c>
      <c r="Q22" s="17">
        <f t="shared" si="11"/>
        <v>680.52631578947364</v>
      </c>
      <c r="R22" s="17">
        <f t="shared" si="11"/>
        <v>1070.5263157894738</v>
      </c>
      <c r="S22" s="18">
        <f t="shared" si="11"/>
        <v>4230</v>
      </c>
      <c r="T22" s="142"/>
      <c r="W22" s="40">
        <f>SUM(C22:S22)-S22</f>
        <v>17503.59086819613</v>
      </c>
    </row>
    <row r="23" spans="1:25">
      <c r="A23" s="275"/>
      <c r="B23" s="7" t="s">
        <v>22</v>
      </c>
      <c r="C23" s="12">
        <f>C12/C21</f>
        <v>1512.6923076923076</v>
      </c>
      <c r="D23" s="12">
        <f t="shared" ref="D23:S23" si="12">D12/D21</f>
        <v>2111.1111111111109</v>
      </c>
      <c r="E23" s="12">
        <f t="shared" si="12"/>
        <v>652.10526315789468</v>
      </c>
      <c r="F23" s="12">
        <f t="shared" si="12"/>
        <v>562.5</v>
      </c>
      <c r="G23" s="12">
        <f t="shared" si="12"/>
        <v>2400</v>
      </c>
      <c r="H23" s="12">
        <f t="shared" si="12"/>
        <v>107.36842105263158</v>
      </c>
      <c r="I23" s="12">
        <f t="shared" si="12"/>
        <v>934.16666666666674</v>
      </c>
      <c r="J23" s="12">
        <f t="shared" si="12"/>
        <v>1236.8999999999999</v>
      </c>
      <c r="K23" s="12">
        <f t="shared" si="12"/>
        <v>23.75</v>
      </c>
      <c r="L23" s="12">
        <f t="shared" si="12"/>
        <v>279</v>
      </c>
      <c r="M23" s="12">
        <f t="shared" si="12"/>
        <v>582.63157894736844</v>
      </c>
      <c r="N23" s="12">
        <f t="shared" si="12"/>
        <v>1064.2105263157894</v>
      </c>
      <c r="O23" s="12">
        <f t="shared" si="12"/>
        <v>2098.75</v>
      </c>
      <c r="P23" s="12">
        <f t="shared" si="12"/>
        <v>1078.421052631579</v>
      </c>
      <c r="Q23" s="12">
        <f t="shared" si="12"/>
        <v>462.63157894736838</v>
      </c>
      <c r="R23" s="12">
        <f t="shared" si="12"/>
        <v>1389.4736842105262</v>
      </c>
      <c r="S23" s="13">
        <f t="shared" si="12"/>
        <v>16436.842105263157</v>
      </c>
      <c r="T23" s="142"/>
      <c r="W23" s="40"/>
    </row>
    <row r="24" spans="1:25">
      <c r="A24" s="276"/>
      <c r="B24" s="10" t="s">
        <v>28</v>
      </c>
      <c r="C24" s="15">
        <f>C13/C21</f>
        <v>1193.0769230769231</v>
      </c>
      <c r="D24" s="15">
        <f t="shared" ref="D24:S24" si="13">D13/D21</f>
        <v>1222.2222222222222</v>
      </c>
      <c r="E24" s="15">
        <f t="shared" si="13"/>
        <v>1578.9473684210527</v>
      </c>
      <c r="F24" s="15">
        <f t="shared" si="13"/>
        <v>1000</v>
      </c>
      <c r="G24" s="15">
        <f t="shared" si="13"/>
        <v>512.5</v>
      </c>
      <c r="H24" s="15">
        <f t="shared" si="13"/>
        <v>302.36842105263156</v>
      </c>
      <c r="I24" s="15">
        <f t="shared" si="13"/>
        <v>124.16666666666666</v>
      </c>
      <c r="J24" s="15">
        <f t="shared" si="13"/>
        <v>840</v>
      </c>
      <c r="K24" s="15">
        <f t="shared" si="13"/>
        <v>661.25</v>
      </c>
      <c r="L24" s="15">
        <f t="shared" si="13"/>
        <v>189.4736842105263</v>
      </c>
      <c r="M24" s="15">
        <f t="shared" si="13"/>
        <v>258.9473684210526</v>
      </c>
      <c r="N24" s="15">
        <f t="shared" si="13"/>
        <v>422.36842105263156</v>
      </c>
      <c r="O24" s="15">
        <f t="shared" si="13"/>
        <v>460</v>
      </c>
      <c r="P24" s="15">
        <f t="shared" si="13"/>
        <v>172.10526315789471</v>
      </c>
      <c r="Q24" s="15">
        <f t="shared" si="13"/>
        <v>281.84210526315786</v>
      </c>
      <c r="R24" s="15">
        <f t="shared" si="13"/>
        <v>232.89473684210526</v>
      </c>
      <c r="S24" s="16">
        <f t="shared" si="13"/>
        <v>2715.7894736842104</v>
      </c>
      <c r="T24" s="142"/>
      <c r="W24" s="40"/>
    </row>
    <row r="25" spans="1:25">
      <c r="A25" s="277" t="s">
        <v>37</v>
      </c>
      <c r="B25" s="7" t="s">
        <v>20</v>
      </c>
      <c r="C25" s="61">
        <f>C22*C5</f>
        <v>1248288.75</v>
      </c>
      <c r="D25" s="61">
        <f>D22*D5</f>
        <v>1816027.7777777775</v>
      </c>
      <c r="E25" s="61">
        <f t="shared" ref="E25:S25" si="14">E22*E5</f>
        <v>316480.26315789472</v>
      </c>
      <c r="F25" s="61">
        <f t="shared" si="14"/>
        <v>1059113.4375</v>
      </c>
      <c r="G25" s="61">
        <f t="shared" si="14"/>
        <v>369789.0625</v>
      </c>
      <c r="H25" s="61">
        <f t="shared" si="14"/>
        <v>30861.31578947368</v>
      </c>
      <c r="I25" s="61">
        <f t="shared" si="14"/>
        <v>445599.37499999994</v>
      </c>
      <c r="J25" s="61">
        <f t="shared" si="14"/>
        <v>1032858.75</v>
      </c>
      <c r="K25" s="61">
        <f t="shared" si="14"/>
        <v>779173.75</v>
      </c>
      <c r="L25" s="61">
        <f t="shared" si="14"/>
        <v>58357.894736842107</v>
      </c>
      <c r="M25" s="61">
        <f t="shared" si="14"/>
        <v>642978.55263157899</v>
      </c>
      <c r="N25" s="61">
        <f t="shared" si="14"/>
        <v>0</v>
      </c>
      <c r="O25" s="61">
        <f t="shared" si="14"/>
        <v>862797.5</v>
      </c>
      <c r="P25" s="61">
        <f t="shared" si="14"/>
        <v>316669.73684210522</v>
      </c>
      <c r="Q25" s="61">
        <f t="shared" si="14"/>
        <v>0</v>
      </c>
      <c r="R25" s="61">
        <f t="shared" si="14"/>
        <v>0</v>
      </c>
      <c r="S25" s="61">
        <f t="shared" si="14"/>
        <v>2893395.5357142854</v>
      </c>
      <c r="T25" s="142"/>
      <c r="W25" s="40"/>
    </row>
    <row r="26" spans="1:25">
      <c r="A26" s="277"/>
      <c r="B26" s="7" t="s">
        <v>22</v>
      </c>
      <c r="C26" s="61">
        <f>C23*C6</f>
        <v>470825.48076923075</v>
      </c>
      <c r="D26" s="61">
        <f t="shared" ref="D26:S26" si="15">D23*D6</f>
        <v>791138.88888888876</v>
      </c>
      <c r="E26" s="61">
        <f t="shared" si="15"/>
        <v>174275.13157894736</v>
      </c>
      <c r="F26" s="61">
        <f t="shared" si="15"/>
        <v>296578.125</v>
      </c>
      <c r="G26" s="61">
        <f t="shared" si="15"/>
        <v>1413600</v>
      </c>
      <c r="H26" s="61">
        <f t="shared" si="15"/>
        <v>10817.368421052632</v>
      </c>
      <c r="I26" s="61">
        <f t="shared" si="15"/>
        <v>500946.87500000006</v>
      </c>
      <c r="J26" s="61">
        <f t="shared" si="15"/>
        <v>1278026.9249999998</v>
      </c>
      <c r="K26" s="61">
        <f t="shared" si="15"/>
        <v>23536.25</v>
      </c>
      <c r="L26" s="61">
        <f t="shared" si="15"/>
        <v>62496</v>
      </c>
      <c r="M26" s="61">
        <f t="shared" si="15"/>
        <v>721152.23684210528</v>
      </c>
      <c r="N26" s="61">
        <f t="shared" si="15"/>
        <v>0</v>
      </c>
      <c r="O26" s="61">
        <f t="shared" si="15"/>
        <v>1332706.25</v>
      </c>
      <c r="P26" s="61">
        <f t="shared" si="15"/>
        <v>1156606.5789473685</v>
      </c>
      <c r="Q26" s="61">
        <f t="shared" si="15"/>
        <v>0</v>
      </c>
      <c r="R26" s="61">
        <f t="shared" si="15"/>
        <v>0</v>
      </c>
      <c r="S26" s="61">
        <f t="shared" si="15"/>
        <v>3764036.8421052629</v>
      </c>
      <c r="T26" s="142"/>
      <c r="W26" s="40"/>
    </row>
    <row r="27" spans="1:25" ht="15.75" thickBot="1">
      <c r="A27" s="278"/>
      <c r="B27" s="10" t="s">
        <v>28</v>
      </c>
      <c r="C27" s="65">
        <f>C24*C7</f>
        <v>422200.09615384619</v>
      </c>
      <c r="D27" s="65">
        <f t="shared" ref="D27:S27" si="16">D24*D7</f>
        <v>654041.66666666663</v>
      </c>
      <c r="E27" s="65">
        <f t="shared" si="16"/>
        <v>421973.68421052635</v>
      </c>
      <c r="F27" s="65">
        <f t="shared" si="16"/>
        <v>527250</v>
      </c>
      <c r="G27" s="65">
        <f t="shared" si="16"/>
        <v>196735.9375</v>
      </c>
      <c r="H27" s="65">
        <f t="shared" si="16"/>
        <v>30463.61842105263</v>
      </c>
      <c r="I27" s="65">
        <f t="shared" si="16"/>
        <v>142853.75</v>
      </c>
      <c r="J27" s="65">
        <f t="shared" si="16"/>
        <v>809550</v>
      </c>
      <c r="K27" s="65">
        <f t="shared" si="16"/>
        <v>655298.75</v>
      </c>
      <c r="L27" s="65">
        <f t="shared" si="16"/>
        <v>42442.105263157893</v>
      </c>
      <c r="M27" s="65">
        <f t="shared" si="16"/>
        <v>320512.10526315786</v>
      </c>
      <c r="N27" s="65">
        <f t="shared" si="16"/>
        <v>86691.118421052626</v>
      </c>
      <c r="O27" s="65">
        <f t="shared" si="16"/>
        <v>428030</v>
      </c>
      <c r="P27" s="65">
        <f t="shared" si="16"/>
        <v>184582.89473684208</v>
      </c>
      <c r="Q27" s="65">
        <f t="shared" si="16"/>
        <v>0</v>
      </c>
      <c r="R27" s="65">
        <f t="shared" si="16"/>
        <v>0</v>
      </c>
      <c r="S27" s="65">
        <f t="shared" si="16"/>
        <v>621915.78947368416</v>
      </c>
      <c r="T27" s="102">
        <f>SUM(C25:S27)</f>
        <v>29413676.170312803</v>
      </c>
      <c r="W27" s="40"/>
    </row>
    <row r="28" spans="1:25">
      <c r="A28" s="279" t="s">
        <v>38</v>
      </c>
      <c r="B28" s="63" t="s">
        <v>20</v>
      </c>
      <c r="C28" s="66">
        <f>(C25-C14)/(1+C19)</f>
        <v>567342.83382394793</v>
      </c>
      <c r="D28" s="66">
        <f>(D25-D14)/(1+D19)</f>
        <v>928338.59429789695</v>
      </c>
      <c r="E28" s="66">
        <f t="shared" ref="E28:I28" si="17">(E25-E14)/(1+E19)</f>
        <v>297802.53588818293</v>
      </c>
      <c r="F28" s="66">
        <f t="shared" si="17"/>
        <v>727459.15046021377</v>
      </c>
      <c r="G28" s="66">
        <f>(G25-G14)/(1+G19)</f>
        <v>124047.73586801135</v>
      </c>
      <c r="H28" s="66">
        <f t="shared" si="17"/>
        <v>24364.196675900275</v>
      </c>
      <c r="I28" s="66">
        <f t="shared" si="17"/>
        <v>125961.42760719924</v>
      </c>
      <c r="J28" s="66">
        <f t="shared" ref="J28:P28" si="18">J25-J14</f>
        <v>611858.75</v>
      </c>
      <c r="K28" s="66">
        <f>(K25-K14)/(1+C19)</f>
        <v>503677.79155317321</v>
      </c>
      <c r="L28" s="66">
        <f t="shared" ref="L28:N28" si="19">(L25-L14)/(1+D19)</f>
        <v>-5817.5866492315045</v>
      </c>
      <c r="M28" s="66">
        <f t="shared" si="19"/>
        <v>574137.6170168072</v>
      </c>
      <c r="N28" s="66">
        <f t="shared" si="19"/>
        <v>-46457.64235580527</v>
      </c>
      <c r="O28" s="66">
        <f>(O25-O14)/(1+G19)</f>
        <v>291649.62800386228</v>
      </c>
      <c r="P28" s="66">
        <f t="shared" si="18"/>
        <v>288908.15979789669</v>
      </c>
      <c r="Q28" s="66">
        <f>(Q25-Q14)/(1+G19)</f>
        <v>-74604.557858350803</v>
      </c>
      <c r="R28" s="66">
        <f t="shared" ref="R28:S28" si="20">(R25-R14)/(1+H19)</f>
        <v>-20963.11767834672</v>
      </c>
      <c r="S28" s="66">
        <f t="shared" si="20"/>
        <v>2426199.2272927025</v>
      </c>
      <c r="T28" s="103">
        <f>SUM(SUM(C28:S28))</f>
        <v>7343904.7437440595</v>
      </c>
      <c r="U28" s="41" t="e">
        <f>#REF!-#REF!</f>
        <v>#REF!</v>
      </c>
      <c r="V28" s="41" t="e">
        <f>#REF!-#REF!</f>
        <v>#REF!</v>
      </c>
      <c r="W28" s="40">
        <f>SUM(C28:S28)</f>
        <v>7343904.7437440595</v>
      </c>
    </row>
    <row r="29" spans="1:25" ht="16.5" customHeight="1">
      <c r="A29" s="280"/>
      <c r="B29" s="28" t="s">
        <v>22</v>
      </c>
      <c r="C29" s="62">
        <f>(C26-C15)/(1+C19)</f>
        <v>216715.08555437651</v>
      </c>
      <c r="D29" s="62">
        <f t="shared" ref="D29:S29" si="21">(D26-D15)/(1+D19)</f>
        <v>274260.98989019881</v>
      </c>
      <c r="E29" s="62">
        <f t="shared" si="21"/>
        <v>163989.92976242607</v>
      </c>
      <c r="F29" s="62">
        <f t="shared" si="21"/>
        <v>203706.66938836104</v>
      </c>
      <c r="G29" s="62">
        <f t="shared" si="21"/>
        <v>1051048.7106126125</v>
      </c>
      <c r="H29" s="62">
        <f t="shared" si="21"/>
        <v>8540.0277008310259</v>
      </c>
      <c r="I29" s="62">
        <f t="shared" si="21"/>
        <v>-427063.12766285316</v>
      </c>
      <c r="J29" s="62">
        <f>(J26-J15)</f>
        <v>1128026.9249999998</v>
      </c>
      <c r="K29" s="62">
        <f t="shared" si="21"/>
        <v>19496.623371267426</v>
      </c>
      <c r="L29" s="62">
        <f t="shared" si="21"/>
        <v>44190.051484755502</v>
      </c>
      <c r="M29" s="62">
        <f t="shared" si="21"/>
        <v>528230.89337135362</v>
      </c>
      <c r="N29" s="62">
        <f t="shared" si="21"/>
        <v>-75657.103146182824</v>
      </c>
      <c r="O29" s="62">
        <f t="shared" si="21"/>
        <v>592198.68068422633</v>
      </c>
      <c r="P29" s="62">
        <f>(P26-P15)</f>
        <v>507942.16742281476</v>
      </c>
      <c r="Q29" s="62">
        <f t="shared" si="21"/>
        <v>-10550.849814757164</v>
      </c>
      <c r="R29" s="62">
        <f t="shared" si="21"/>
        <v>-38999.553149213461</v>
      </c>
      <c r="S29" s="62">
        <f t="shared" si="21"/>
        <v>-202312.55411249882</v>
      </c>
      <c r="T29" s="103">
        <f t="shared" ref="T29:T31" si="22">SUM(SUM(C29:S29))</f>
        <v>3983763.5663577174</v>
      </c>
      <c r="U29" s="41"/>
      <c r="V29" s="41"/>
      <c r="W29" s="40"/>
    </row>
    <row r="30" spans="1:25" ht="17.25" customHeight="1">
      <c r="A30" s="280"/>
      <c r="B30" s="64" t="s">
        <v>28</v>
      </c>
      <c r="C30" s="67">
        <f>(C27-C16)/(1+C19)</f>
        <v>33660.214355542063</v>
      </c>
      <c r="D30" s="67">
        <f t="shared" ref="D30:S30" si="23">(D27-D16)/(1+D19)</f>
        <v>-35116.385890024001</v>
      </c>
      <c r="E30" s="67">
        <f t="shared" si="23"/>
        <v>-576075.07110564411</v>
      </c>
      <c r="F30" s="67">
        <f t="shared" si="23"/>
        <v>224773.85193982581</v>
      </c>
      <c r="G30" s="67">
        <f t="shared" si="23"/>
        <v>12336.184219410688</v>
      </c>
      <c r="H30" s="67">
        <f t="shared" si="23"/>
        <v>-67177.932825484779</v>
      </c>
      <c r="I30" s="67">
        <f t="shared" si="23"/>
        <v>-98894.988761983142</v>
      </c>
      <c r="J30" s="67">
        <f t="shared" si="23"/>
        <v>877147.83895539294</v>
      </c>
      <c r="K30" s="67">
        <f t="shared" si="23"/>
        <v>451142.3392760749</v>
      </c>
      <c r="L30" s="67">
        <f t="shared" si="23"/>
        <v>30010.221721395927</v>
      </c>
      <c r="M30" s="67">
        <f t="shared" si="23"/>
        <v>34471.054660284164</v>
      </c>
      <c r="N30" s="67">
        <f t="shared" si="23"/>
        <v>299.79882898936404</v>
      </c>
      <c r="O30" s="67">
        <f t="shared" si="23"/>
        <v>-247424.73232520375</v>
      </c>
      <c r="P30" s="67">
        <f>(P27-P16)</f>
        <v>-661095.39757623384</v>
      </c>
      <c r="Q30" s="67">
        <v>0</v>
      </c>
      <c r="R30" s="67">
        <f t="shared" si="23"/>
        <v>-46324.575957724475</v>
      </c>
      <c r="S30" s="67">
        <f t="shared" si="23"/>
        <v>299294.40930102911</v>
      </c>
      <c r="T30" s="103">
        <f t="shared" si="22"/>
        <v>231026.82881564699</v>
      </c>
      <c r="U30" s="41"/>
      <c r="V30" s="41"/>
      <c r="W30" s="40"/>
    </row>
    <row r="31" spans="1:25" ht="16.5" customHeight="1" thickBot="1">
      <c r="A31" s="280"/>
      <c r="B31" s="64" t="s">
        <v>1</v>
      </c>
      <c r="C31" s="67">
        <f>SUM(C28:C30)</f>
        <v>817718.1337338665</v>
      </c>
      <c r="D31" s="67">
        <f t="shared" ref="D31:S31" si="24">SUM(D28:D30)</f>
        <v>1167483.1982980717</v>
      </c>
      <c r="E31" s="67">
        <f t="shared" si="24"/>
        <v>-114282.60545503511</v>
      </c>
      <c r="F31" s="67">
        <f t="shared" si="24"/>
        <v>1155939.6717884005</v>
      </c>
      <c r="G31" s="67">
        <f t="shared" si="24"/>
        <v>1187432.6307000346</v>
      </c>
      <c r="H31" s="67">
        <f t="shared" si="24"/>
        <v>-34273.708448753474</v>
      </c>
      <c r="I31" s="67">
        <f t="shared" si="24"/>
        <v>-399996.68881763704</v>
      </c>
      <c r="J31" s="67">
        <f t="shared" si="24"/>
        <v>2617033.5139553929</v>
      </c>
      <c r="K31" s="67">
        <f t="shared" si="24"/>
        <v>974316.75420051557</v>
      </c>
      <c r="L31" s="67">
        <f t="shared" si="24"/>
        <v>68382.686556919929</v>
      </c>
      <c r="M31" s="67">
        <f t="shared" si="24"/>
        <v>1136839.565048445</v>
      </c>
      <c r="N31" s="67">
        <f t="shared" si="24"/>
        <v>-121814.94667299873</v>
      </c>
      <c r="O31" s="67">
        <f t="shared" si="24"/>
        <v>636423.57636288484</v>
      </c>
      <c r="P31" s="67">
        <f t="shared" si="24"/>
        <v>135754.92964447755</v>
      </c>
      <c r="Q31" s="67">
        <f t="shared" si="24"/>
        <v>-85155.407673107969</v>
      </c>
      <c r="R31" s="67">
        <f t="shared" si="24"/>
        <v>-106287.24678528466</v>
      </c>
      <c r="S31" s="67">
        <f t="shared" si="24"/>
        <v>2523181.0824812329</v>
      </c>
      <c r="T31" s="103">
        <f t="shared" si="22"/>
        <v>11558695.138917426</v>
      </c>
      <c r="U31" s="41"/>
      <c r="V31" s="41"/>
      <c r="W31" s="40"/>
    </row>
    <row r="32" spans="1:25" ht="15" customHeight="1">
      <c r="A32" s="89" t="s">
        <v>39</v>
      </c>
      <c r="B32" s="73"/>
      <c r="C32" s="90"/>
      <c r="D32" s="90"/>
      <c r="E32" s="90"/>
      <c r="F32" s="91"/>
      <c r="G32" s="90"/>
      <c r="H32" s="90"/>
      <c r="I32" s="91"/>
      <c r="J32" s="92"/>
      <c r="K32" s="91"/>
      <c r="L32" s="90"/>
      <c r="M32" s="93"/>
      <c r="N32" s="90"/>
      <c r="O32" s="91"/>
      <c r="P32" s="93"/>
      <c r="Q32" s="90"/>
      <c r="R32" s="90"/>
      <c r="S32" s="94"/>
      <c r="T32" s="142"/>
    </row>
    <row r="33" spans="1:28" ht="15" customHeight="1" thickBot="1">
      <c r="A33" s="70" t="s">
        <v>40</v>
      </c>
      <c r="B33" s="43"/>
      <c r="C33" s="74"/>
      <c r="D33" s="74"/>
      <c r="E33" s="74"/>
      <c r="F33" s="74"/>
      <c r="G33" s="74"/>
      <c r="H33" s="74"/>
      <c r="I33" s="74"/>
      <c r="J33" s="75" t="s">
        <v>41</v>
      </c>
      <c r="K33" s="75" t="s">
        <v>41</v>
      </c>
      <c r="L33" s="75" t="s">
        <v>41</v>
      </c>
      <c r="M33" s="75" t="s">
        <v>41</v>
      </c>
      <c r="N33" s="74"/>
      <c r="O33" s="74"/>
      <c r="P33" s="74"/>
      <c r="Q33" s="76"/>
      <c r="R33" s="76"/>
      <c r="S33" s="77"/>
      <c r="T33" s="142"/>
    </row>
    <row r="34" spans="1:28" s="14" customFormat="1" ht="16.5" customHeight="1">
      <c r="A34" s="80"/>
      <c r="B34" s="81"/>
      <c r="T34" s="146"/>
      <c r="U34" s="32"/>
      <c r="V34" s="32"/>
      <c r="W34" s="32"/>
      <c r="X34" s="32"/>
      <c r="Y34" s="32"/>
      <c r="Z34" s="32"/>
      <c r="AA34" s="32"/>
      <c r="AB34" s="32"/>
    </row>
    <row r="35" spans="1:28" s="14" customFormat="1">
      <c r="A35" s="80"/>
      <c r="B35" s="81"/>
      <c r="C35" s="51" t="s">
        <v>2</v>
      </c>
      <c r="D35" s="51" t="s">
        <v>3</v>
      </c>
      <c r="E35" s="51" t="s">
        <v>4</v>
      </c>
      <c r="F35" s="51" t="s">
        <v>5</v>
      </c>
      <c r="G35" s="51" t="s">
        <v>6</v>
      </c>
      <c r="H35" s="51" t="s">
        <v>7</v>
      </c>
      <c r="I35" s="51" t="s">
        <v>8</v>
      </c>
      <c r="J35" s="51" t="s">
        <v>9</v>
      </c>
      <c r="K35" s="51" t="s">
        <v>10</v>
      </c>
      <c r="L35" s="51" t="s">
        <v>11</v>
      </c>
      <c r="M35" s="51" t="s">
        <v>12</v>
      </c>
      <c r="N35" s="51" t="s">
        <v>13</v>
      </c>
      <c r="O35" s="51" t="s">
        <v>14</v>
      </c>
      <c r="P35" s="51" t="s">
        <v>15</v>
      </c>
      <c r="Q35" s="51" t="s">
        <v>16</v>
      </c>
      <c r="R35" s="51" t="s">
        <v>17</v>
      </c>
      <c r="S35" s="51" t="s">
        <v>18</v>
      </c>
      <c r="T35" s="51" t="s">
        <v>42</v>
      </c>
      <c r="U35" s="51" t="s">
        <v>43</v>
      </c>
      <c r="V35" s="32"/>
      <c r="W35" s="32"/>
      <c r="X35" s="32"/>
      <c r="Y35" s="32"/>
      <c r="Z35" s="32"/>
      <c r="AA35" s="32"/>
      <c r="AB35" s="32"/>
    </row>
    <row r="36" spans="1:28" s="14" customFormat="1" ht="15" hidden="1" customHeight="1">
      <c r="A36" s="273" t="s">
        <v>44</v>
      </c>
      <c r="B36" s="105" t="s">
        <v>20</v>
      </c>
      <c r="C36" s="106">
        <v>100000</v>
      </c>
      <c r="D36" s="106">
        <v>150000</v>
      </c>
      <c r="E36" s="106">
        <v>50000</v>
      </c>
      <c r="F36" s="106">
        <v>150000</v>
      </c>
      <c r="G36" s="106">
        <v>50000</v>
      </c>
      <c r="H36" s="106">
        <v>10000</v>
      </c>
      <c r="I36" s="106">
        <v>50000</v>
      </c>
      <c r="J36" s="106">
        <v>50000</v>
      </c>
      <c r="K36" s="106">
        <v>40000</v>
      </c>
      <c r="L36" s="106">
        <v>30000</v>
      </c>
      <c r="M36" s="106">
        <v>40000</v>
      </c>
      <c r="N36" s="106">
        <v>10000</v>
      </c>
      <c r="O36" s="106">
        <v>30000</v>
      </c>
      <c r="P36" s="106">
        <v>10000</v>
      </c>
      <c r="Q36" s="106">
        <v>20000</v>
      </c>
      <c r="R36" s="106">
        <v>25000</v>
      </c>
      <c r="S36" s="106">
        <v>200000</v>
      </c>
      <c r="T36" s="107">
        <f t="shared" ref="T36:U37" si="25">SUM(C36:S36)</f>
        <v>1015000</v>
      </c>
      <c r="U36" s="107">
        <f t="shared" si="25"/>
        <v>1930000</v>
      </c>
      <c r="V36" s="32"/>
      <c r="W36" s="32"/>
      <c r="X36" s="32"/>
      <c r="Y36" s="32"/>
      <c r="Z36" s="32"/>
      <c r="AA36" s="32"/>
      <c r="AB36" s="32"/>
    </row>
    <row r="37" spans="1:28" s="14" customFormat="1" ht="15" hidden="1" customHeight="1">
      <c r="A37" s="273"/>
      <c r="B37" s="105" t="s">
        <v>22</v>
      </c>
      <c r="C37" s="106">
        <v>50000</v>
      </c>
      <c r="D37" s="106">
        <v>50000</v>
      </c>
      <c r="E37" s="106">
        <v>30000</v>
      </c>
      <c r="F37" s="106">
        <v>50000</v>
      </c>
      <c r="G37" s="106">
        <v>160000</v>
      </c>
      <c r="H37" s="106">
        <v>10000</v>
      </c>
      <c r="I37" s="106">
        <v>20000</v>
      </c>
      <c r="J37" s="106">
        <v>0</v>
      </c>
      <c r="K37" s="106">
        <v>0</v>
      </c>
      <c r="L37" s="106">
        <v>0</v>
      </c>
      <c r="M37" s="106">
        <v>0</v>
      </c>
      <c r="N37" s="106">
        <v>30000</v>
      </c>
      <c r="O37" s="106">
        <v>60000</v>
      </c>
      <c r="P37" s="106">
        <v>30000</v>
      </c>
      <c r="Q37" s="106">
        <v>20000</v>
      </c>
      <c r="R37" s="106">
        <v>25000</v>
      </c>
      <c r="S37" s="106">
        <v>50000</v>
      </c>
      <c r="T37" s="107">
        <f t="shared" si="25"/>
        <v>585000</v>
      </c>
      <c r="U37" s="107">
        <f t="shared" si="25"/>
        <v>1120000</v>
      </c>
      <c r="V37" s="32"/>
      <c r="W37" s="32"/>
      <c r="X37" s="32"/>
      <c r="Y37" s="32"/>
      <c r="Z37" s="32"/>
      <c r="AA37" s="32"/>
      <c r="AB37" s="32"/>
    </row>
    <row r="38" spans="1:28" s="14" customFormat="1" ht="15" hidden="1" customHeight="1">
      <c r="A38" s="273"/>
      <c r="B38" s="108" t="s">
        <v>28</v>
      </c>
      <c r="C38" s="106">
        <v>130000</v>
      </c>
      <c r="D38" s="106">
        <v>100000</v>
      </c>
      <c r="E38" s="106">
        <v>20000</v>
      </c>
      <c r="F38" s="106">
        <v>100000</v>
      </c>
      <c r="G38" s="106">
        <v>90000</v>
      </c>
      <c r="H38" s="106">
        <v>40000</v>
      </c>
      <c r="I38" s="106">
        <v>30000</v>
      </c>
      <c r="J38" s="106">
        <v>100000</v>
      </c>
      <c r="K38" s="106">
        <v>60000</v>
      </c>
      <c r="L38" s="106">
        <v>30000</v>
      </c>
      <c r="M38" s="106">
        <v>20000</v>
      </c>
      <c r="N38" s="106">
        <v>20000</v>
      </c>
      <c r="O38" s="106">
        <v>10000</v>
      </c>
      <c r="P38" s="106">
        <v>20000</v>
      </c>
      <c r="Q38" s="106">
        <v>20000</v>
      </c>
      <c r="R38" s="106">
        <v>10000</v>
      </c>
      <c r="S38" s="106">
        <v>0</v>
      </c>
      <c r="T38" s="107">
        <f>SUM(C38:S38)</f>
        <v>800000</v>
      </c>
      <c r="U38" s="107">
        <f>SUM(D38:T38)</f>
        <v>1470000</v>
      </c>
      <c r="V38" s="32"/>
      <c r="W38" s="32"/>
      <c r="X38" s="32"/>
      <c r="Y38" s="32"/>
      <c r="Z38" s="32"/>
      <c r="AA38" s="32"/>
      <c r="AB38" s="32"/>
    </row>
    <row r="39" spans="1:28" s="14" customFormat="1" ht="15" hidden="1" customHeight="1">
      <c r="A39" s="273"/>
      <c r="B39" s="104" t="s">
        <v>1</v>
      </c>
      <c r="C39" s="109">
        <f>SUM(C36:C38)</f>
        <v>280000</v>
      </c>
      <c r="D39" s="109">
        <f t="shared" ref="D39:S39" si="26">SUM(D36:D38)</f>
        <v>300000</v>
      </c>
      <c r="E39" s="109">
        <f t="shared" si="26"/>
        <v>100000</v>
      </c>
      <c r="F39" s="109">
        <f t="shared" si="26"/>
        <v>300000</v>
      </c>
      <c r="G39" s="109">
        <f t="shared" si="26"/>
        <v>300000</v>
      </c>
      <c r="H39" s="109">
        <f t="shared" si="26"/>
        <v>60000</v>
      </c>
      <c r="I39" s="109">
        <f t="shared" si="26"/>
        <v>100000</v>
      </c>
      <c r="J39" s="109">
        <f t="shared" si="26"/>
        <v>150000</v>
      </c>
      <c r="K39" s="109">
        <f t="shared" si="26"/>
        <v>100000</v>
      </c>
      <c r="L39" s="109">
        <f t="shared" si="26"/>
        <v>60000</v>
      </c>
      <c r="M39" s="109">
        <f t="shared" si="26"/>
        <v>60000</v>
      </c>
      <c r="N39" s="109">
        <f t="shared" si="26"/>
        <v>60000</v>
      </c>
      <c r="O39" s="109">
        <f t="shared" si="26"/>
        <v>100000</v>
      </c>
      <c r="P39" s="109">
        <f t="shared" si="26"/>
        <v>60000</v>
      </c>
      <c r="Q39" s="109">
        <f t="shared" si="26"/>
        <v>60000</v>
      </c>
      <c r="R39" s="109">
        <f t="shared" si="26"/>
        <v>60000</v>
      </c>
      <c r="S39" s="109">
        <f t="shared" si="26"/>
        <v>250000</v>
      </c>
      <c r="T39" s="107">
        <f>SUM(C39:S39)</f>
        <v>2400000</v>
      </c>
      <c r="U39" s="107">
        <f>SUM(D39:T39)</f>
        <v>4520000</v>
      </c>
      <c r="V39" s="32"/>
      <c r="W39" s="32"/>
      <c r="X39" s="32"/>
      <c r="Y39" s="32"/>
      <c r="Z39" s="32"/>
      <c r="AA39" s="32"/>
      <c r="AB39" s="32"/>
    </row>
    <row r="40" spans="1:28" s="14" customFormat="1" ht="15" hidden="1" customHeight="1">
      <c r="A40" s="273" t="s">
        <v>45</v>
      </c>
      <c r="B40" s="105" t="s">
        <v>20</v>
      </c>
      <c r="C40" s="106">
        <v>73000</v>
      </c>
      <c r="D40" s="106">
        <v>43000</v>
      </c>
      <c r="E40" s="106">
        <v>79000</v>
      </c>
      <c r="F40" s="106">
        <v>25000</v>
      </c>
      <c r="G40" s="106">
        <v>74000</v>
      </c>
      <c r="H40" s="106">
        <v>204000</v>
      </c>
      <c r="I40" s="106">
        <v>23000</v>
      </c>
      <c r="J40" s="110">
        <v>0</v>
      </c>
      <c r="K40" s="110">
        <v>0</v>
      </c>
      <c r="L40" s="106">
        <v>94000</v>
      </c>
      <c r="M40" s="110">
        <v>0</v>
      </c>
      <c r="N40" s="106">
        <v>0</v>
      </c>
      <c r="O40" s="110">
        <v>0</v>
      </c>
      <c r="P40" s="110">
        <v>0</v>
      </c>
      <c r="Q40" s="110">
        <v>0</v>
      </c>
      <c r="R40" s="106">
        <v>74000</v>
      </c>
      <c r="S40" s="106">
        <v>31000</v>
      </c>
      <c r="T40" s="107">
        <v>720000</v>
      </c>
      <c r="U40" s="107">
        <v>720000</v>
      </c>
      <c r="V40" s="32"/>
      <c r="W40" s="32"/>
      <c r="X40" s="32"/>
      <c r="Y40" s="32"/>
      <c r="Z40" s="32"/>
      <c r="AA40" s="32"/>
      <c r="AB40" s="32"/>
    </row>
    <row r="41" spans="1:28" s="14" customFormat="1" ht="15" hidden="1" customHeight="1">
      <c r="A41" s="273"/>
      <c r="B41" s="105" t="s">
        <v>22</v>
      </c>
      <c r="C41" s="106">
        <v>92000</v>
      </c>
      <c r="D41" s="106">
        <v>80000</v>
      </c>
      <c r="E41" s="106">
        <v>79000</v>
      </c>
      <c r="F41" s="106">
        <v>25000</v>
      </c>
      <c r="G41" s="106">
        <v>23000</v>
      </c>
      <c r="H41" s="106">
        <v>209000</v>
      </c>
      <c r="I41" s="106">
        <v>74000</v>
      </c>
      <c r="J41" s="110">
        <v>0</v>
      </c>
      <c r="K41" s="110">
        <v>0</v>
      </c>
      <c r="L41" s="106">
        <v>94000</v>
      </c>
      <c r="M41" s="110">
        <v>0</v>
      </c>
      <c r="N41" s="106">
        <v>0</v>
      </c>
      <c r="O41" s="110">
        <v>0</v>
      </c>
      <c r="P41" s="110">
        <v>0</v>
      </c>
      <c r="Q41" s="110">
        <v>0</v>
      </c>
      <c r="R41" s="106">
        <v>37000</v>
      </c>
      <c r="S41" s="106">
        <v>92000</v>
      </c>
      <c r="T41" s="107">
        <v>805000</v>
      </c>
      <c r="U41" s="107">
        <v>805000</v>
      </c>
      <c r="V41" s="32"/>
      <c r="W41" s="32"/>
      <c r="X41" s="32"/>
      <c r="Y41" s="32"/>
      <c r="Z41" s="32"/>
      <c r="AA41" s="32"/>
      <c r="AB41" s="32"/>
    </row>
    <row r="42" spans="1:28" s="14" customFormat="1" ht="15" hidden="1" customHeight="1">
      <c r="A42" s="273"/>
      <c r="B42" s="108" t="s">
        <v>28</v>
      </c>
      <c r="C42" s="106">
        <v>81000</v>
      </c>
      <c r="D42" s="106">
        <v>56000</v>
      </c>
      <c r="E42" s="106">
        <v>79000</v>
      </c>
      <c r="F42" s="106">
        <v>25000</v>
      </c>
      <c r="G42" s="106">
        <v>35000</v>
      </c>
      <c r="H42" s="106">
        <v>209000</v>
      </c>
      <c r="I42" s="106">
        <v>35000</v>
      </c>
      <c r="J42" s="110">
        <v>0</v>
      </c>
      <c r="K42" s="110">
        <v>0</v>
      </c>
      <c r="L42" s="106">
        <v>94000</v>
      </c>
      <c r="M42" s="110">
        <v>0</v>
      </c>
      <c r="N42" s="106">
        <v>95000</v>
      </c>
      <c r="O42" s="110">
        <v>0</v>
      </c>
      <c r="P42" s="110">
        <v>0</v>
      </c>
      <c r="Q42" s="110">
        <v>0</v>
      </c>
      <c r="R42" s="106">
        <v>74000</v>
      </c>
      <c r="S42" s="106">
        <v>92000</v>
      </c>
      <c r="T42" s="107">
        <v>875000</v>
      </c>
      <c r="U42" s="107">
        <v>875000</v>
      </c>
      <c r="V42" s="32"/>
      <c r="W42" s="32"/>
      <c r="X42" s="32"/>
      <c r="Y42" s="32"/>
      <c r="Z42" s="32"/>
      <c r="AA42" s="32"/>
      <c r="AB42" s="32"/>
    </row>
    <row r="43" spans="1:28" s="14" customFormat="1" ht="15" hidden="1" customHeight="1">
      <c r="A43" s="273"/>
      <c r="B43" s="104" t="s">
        <v>1</v>
      </c>
      <c r="C43" s="109">
        <v>246000</v>
      </c>
      <c r="D43" s="109">
        <v>179000</v>
      </c>
      <c r="E43" s="109">
        <v>237000</v>
      </c>
      <c r="F43" s="109">
        <v>75000</v>
      </c>
      <c r="G43" s="109">
        <v>132000</v>
      </c>
      <c r="H43" s="109">
        <v>622000</v>
      </c>
      <c r="I43" s="109">
        <v>132000</v>
      </c>
      <c r="J43" s="111">
        <v>0</v>
      </c>
      <c r="K43" s="111">
        <v>0</v>
      </c>
      <c r="L43" s="109">
        <v>282000</v>
      </c>
      <c r="M43" s="111">
        <v>0</v>
      </c>
      <c r="N43" s="109">
        <v>95000</v>
      </c>
      <c r="O43" s="111">
        <v>0</v>
      </c>
      <c r="P43" s="111">
        <v>0</v>
      </c>
      <c r="Q43" s="111">
        <v>0</v>
      </c>
      <c r="R43" s="109">
        <v>185000</v>
      </c>
      <c r="S43" s="109">
        <v>215000</v>
      </c>
      <c r="T43" s="107">
        <v>2400000</v>
      </c>
      <c r="U43" s="107">
        <v>2400000</v>
      </c>
      <c r="V43" s="32"/>
      <c r="W43" s="32"/>
      <c r="X43" s="32"/>
      <c r="Y43" s="32"/>
      <c r="Z43" s="32"/>
      <c r="AA43" s="32"/>
      <c r="AB43" s="32"/>
    </row>
    <row r="44" spans="1:28" s="14" customFormat="1" ht="15" hidden="1" customHeight="1">
      <c r="A44" s="273" t="s">
        <v>46</v>
      </c>
      <c r="B44" s="105" t="s">
        <v>20</v>
      </c>
      <c r="C44" s="106">
        <v>150000</v>
      </c>
      <c r="D44" s="106">
        <v>100000</v>
      </c>
      <c r="E44" s="106">
        <v>95000</v>
      </c>
      <c r="F44" s="106">
        <v>75000</v>
      </c>
      <c r="G44" s="106">
        <v>85000</v>
      </c>
      <c r="H44" s="106">
        <v>75000</v>
      </c>
      <c r="I44" s="106">
        <v>50000</v>
      </c>
      <c r="J44" s="106">
        <v>25000</v>
      </c>
      <c r="K44" s="110">
        <v>0</v>
      </c>
      <c r="L44" s="106">
        <v>25000</v>
      </c>
      <c r="M44" s="110">
        <v>0</v>
      </c>
      <c r="N44" s="106">
        <v>50000</v>
      </c>
      <c r="O44" s="110">
        <v>0</v>
      </c>
      <c r="P44" s="110">
        <v>0</v>
      </c>
      <c r="Q44" s="106">
        <v>20000</v>
      </c>
      <c r="R44" s="106">
        <v>25000</v>
      </c>
      <c r="S44" s="106">
        <v>100000</v>
      </c>
      <c r="T44" s="107">
        <f>SUM(C44:S44)</f>
        <v>875000</v>
      </c>
      <c r="U44" s="107">
        <f>SUM(D44:T44)</f>
        <v>1600000</v>
      </c>
      <c r="V44" s="32"/>
      <c r="W44" s="32"/>
      <c r="X44" s="32"/>
      <c r="Y44" s="32"/>
      <c r="Z44" s="32"/>
      <c r="AA44" s="32"/>
      <c r="AB44" s="32"/>
    </row>
    <row r="45" spans="1:28" s="14" customFormat="1" ht="15" hidden="1" customHeight="1">
      <c r="A45" s="273"/>
      <c r="B45" s="105" t="s">
        <v>22</v>
      </c>
      <c r="C45" s="106">
        <v>100000</v>
      </c>
      <c r="D45" s="106">
        <v>60000</v>
      </c>
      <c r="E45" s="106">
        <v>80000</v>
      </c>
      <c r="F45" s="106">
        <v>25000</v>
      </c>
      <c r="G45" s="106">
        <v>40000</v>
      </c>
      <c r="H45" s="106">
        <v>25000</v>
      </c>
      <c r="I45" s="106">
        <v>70000</v>
      </c>
      <c r="J45" s="110">
        <v>0</v>
      </c>
      <c r="K45" s="110">
        <v>0</v>
      </c>
      <c r="L45" s="106">
        <v>0</v>
      </c>
      <c r="M45" s="110">
        <v>0</v>
      </c>
      <c r="N45" s="106">
        <v>120000</v>
      </c>
      <c r="O45" s="110">
        <v>0</v>
      </c>
      <c r="P45" s="110">
        <v>0</v>
      </c>
      <c r="Q45" s="106">
        <v>20000</v>
      </c>
      <c r="R45" s="106">
        <v>25000</v>
      </c>
      <c r="S45" s="106">
        <v>150000</v>
      </c>
      <c r="T45" s="107">
        <f t="shared" ref="T45:U46" si="27">SUM(C45:S45)</f>
        <v>715000</v>
      </c>
      <c r="U45" s="107">
        <f t="shared" si="27"/>
        <v>1330000</v>
      </c>
      <c r="V45" s="32"/>
      <c r="W45" s="32"/>
      <c r="X45" s="32"/>
      <c r="Y45" s="32"/>
      <c r="Z45" s="32"/>
      <c r="AA45" s="32"/>
      <c r="AB45" s="32"/>
    </row>
    <row r="46" spans="1:28" s="14" customFormat="1" ht="15" hidden="1" customHeight="1">
      <c r="A46" s="273"/>
      <c r="B46" s="108" t="s">
        <v>28</v>
      </c>
      <c r="C46" s="106">
        <v>100000</v>
      </c>
      <c r="D46" s="106">
        <v>120000</v>
      </c>
      <c r="E46" s="106">
        <v>120000</v>
      </c>
      <c r="F46" s="106">
        <v>60000</v>
      </c>
      <c r="G46" s="106">
        <v>35000</v>
      </c>
      <c r="H46" s="106">
        <v>125000</v>
      </c>
      <c r="I46" s="106">
        <v>40000</v>
      </c>
      <c r="J46" s="106">
        <v>60000</v>
      </c>
      <c r="K46" s="110">
        <v>0</v>
      </c>
      <c r="L46" s="106">
        <v>60000</v>
      </c>
      <c r="M46" s="110">
        <v>0</v>
      </c>
      <c r="N46" s="106">
        <v>60000</v>
      </c>
      <c r="O46" s="110">
        <v>0</v>
      </c>
      <c r="P46" s="110">
        <v>0</v>
      </c>
      <c r="Q46" s="106">
        <v>20000</v>
      </c>
      <c r="R46" s="106">
        <v>10000</v>
      </c>
      <c r="S46" s="110">
        <v>0</v>
      </c>
      <c r="T46" s="107">
        <f t="shared" si="27"/>
        <v>810000</v>
      </c>
      <c r="U46" s="107">
        <f t="shared" si="27"/>
        <v>1520000</v>
      </c>
    </row>
    <row r="47" spans="1:28" hidden="1">
      <c r="A47" s="273"/>
      <c r="B47" s="104" t="s">
        <v>1</v>
      </c>
      <c r="C47" s="109">
        <f>SUM(C44:C46)</f>
        <v>350000</v>
      </c>
      <c r="D47" s="109">
        <f>SUM(D44:D46)</f>
        <v>280000</v>
      </c>
      <c r="E47" s="109">
        <f t="shared" ref="E47:S47" si="28">SUM(E44:E46)</f>
        <v>295000</v>
      </c>
      <c r="F47" s="109">
        <f t="shared" si="28"/>
        <v>160000</v>
      </c>
      <c r="G47" s="109">
        <f t="shared" si="28"/>
        <v>160000</v>
      </c>
      <c r="H47" s="109">
        <f t="shared" si="28"/>
        <v>225000</v>
      </c>
      <c r="I47" s="109">
        <f t="shared" si="28"/>
        <v>160000</v>
      </c>
      <c r="J47" s="109">
        <f t="shared" si="28"/>
        <v>85000</v>
      </c>
      <c r="K47" s="111">
        <f t="shared" si="28"/>
        <v>0</v>
      </c>
      <c r="L47" s="109">
        <f>SUM(L44:L46)</f>
        <v>85000</v>
      </c>
      <c r="M47" s="111">
        <f t="shared" si="28"/>
        <v>0</v>
      </c>
      <c r="N47" s="109">
        <f t="shared" si="28"/>
        <v>230000</v>
      </c>
      <c r="O47" s="111">
        <f t="shared" si="28"/>
        <v>0</v>
      </c>
      <c r="P47" s="111">
        <f t="shared" si="28"/>
        <v>0</v>
      </c>
      <c r="Q47" s="109">
        <f t="shared" si="28"/>
        <v>60000</v>
      </c>
      <c r="R47" s="109">
        <f t="shared" si="28"/>
        <v>60000</v>
      </c>
      <c r="S47" s="109">
        <f t="shared" si="28"/>
        <v>250000</v>
      </c>
      <c r="T47" s="107">
        <f>SUM(C47:S47)</f>
        <v>2400000</v>
      </c>
      <c r="U47" s="107">
        <f>SUM(D47:T47)</f>
        <v>4450000</v>
      </c>
      <c r="V47" s="1"/>
      <c r="W47" s="1"/>
      <c r="X47" s="1"/>
      <c r="Y47" s="1"/>
      <c r="Z47" s="1"/>
      <c r="AA47" s="1"/>
      <c r="AB47" s="1"/>
    </row>
    <row r="48" spans="1:28" hidden="1">
      <c r="A48" s="273" t="s">
        <v>47</v>
      </c>
      <c r="B48" s="105" t="s">
        <v>20</v>
      </c>
      <c r="C48" s="106">
        <v>150000</v>
      </c>
      <c r="D48" s="106">
        <v>90000</v>
      </c>
      <c r="E48" s="106">
        <v>80000</v>
      </c>
      <c r="F48" s="106">
        <v>75000</v>
      </c>
      <c r="G48" s="106">
        <v>65000</v>
      </c>
      <c r="H48" s="106">
        <v>75000</v>
      </c>
      <c r="I48" s="106">
        <v>40000</v>
      </c>
      <c r="J48" s="106">
        <v>20000</v>
      </c>
      <c r="K48" s="106">
        <v>30000</v>
      </c>
      <c r="L48" s="106">
        <v>20000</v>
      </c>
      <c r="M48" s="106">
        <v>30000</v>
      </c>
      <c r="N48" s="106">
        <v>40000</v>
      </c>
      <c r="O48" s="106">
        <v>25000</v>
      </c>
      <c r="P48" s="106">
        <v>25000</v>
      </c>
      <c r="Q48" s="106">
        <v>20000</v>
      </c>
      <c r="R48" s="106">
        <v>25000</v>
      </c>
      <c r="S48" s="106">
        <v>95000</v>
      </c>
      <c r="T48" s="147">
        <f>SUM(C48:S48)</f>
        <v>905000</v>
      </c>
      <c r="U48" s="147">
        <f>SUM(D48:P48)</f>
        <v>615000</v>
      </c>
      <c r="V48" s="1"/>
      <c r="W48" s="1"/>
      <c r="X48" s="1"/>
      <c r="Y48" s="1"/>
      <c r="Z48" s="1"/>
      <c r="AA48" s="1"/>
      <c r="AB48" s="1"/>
    </row>
    <row r="49" spans="1:28" hidden="1">
      <c r="A49" s="273"/>
      <c r="B49" s="105" t="s">
        <v>22</v>
      </c>
      <c r="C49" s="106">
        <v>75000</v>
      </c>
      <c r="D49" s="106">
        <v>60000</v>
      </c>
      <c r="E49" s="106">
        <v>80000</v>
      </c>
      <c r="F49" s="106">
        <v>25000</v>
      </c>
      <c r="G49" s="106">
        <v>40000</v>
      </c>
      <c r="H49" s="106">
        <v>25000</v>
      </c>
      <c r="I49" s="106">
        <v>45000</v>
      </c>
      <c r="J49" s="110">
        <v>0</v>
      </c>
      <c r="K49" s="106">
        <v>0</v>
      </c>
      <c r="L49" s="106">
        <v>0</v>
      </c>
      <c r="M49" s="106">
        <v>0</v>
      </c>
      <c r="N49" s="106">
        <v>100000</v>
      </c>
      <c r="O49" s="106">
        <v>25000</v>
      </c>
      <c r="P49" s="106">
        <v>25000</v>
      </c>
      <c r="Q49" s="106">
        <v>20000</v>
      </c>
      <c r="R49" s="106">
        <v>25000</v>
      </c>
      <c r="S49" s="106">
        <v>150000</v>
      </c>
      <c r="T49" s="147">
        <f t="shared" ref="T49:T50" si="29">SUM(C49:S49)</f>
        <v>695000</v>
      </c>
      <c r="U49" s="147">
        <f t="shared" ref="U49:U50" si="30">SUM(D49:P49)</f>
        <v>425000</v>
      </c>
      <c r="V49" s="1"/>
      <c r="W49" s="1"/>
      <c r="X49" s="1"/>
      <c r="Y49" s="1"/>
      <c r="Z49" s="1"/>
      <c r="AA49" s="1"/>
      <c r="AB49" s="1"/>
    </row>
    <row r="50" spans="1:28" hidden="1">
      <c r="A50" s="273"/>
      <c r="B50" s="108" t="s">
        <v>28</v>
      </c>
      <c r="C50" s="106">
        <v>75000</v>
      </c>
      <c r="D50" s="106">
        <v>100000</v>
      </c>
      <c r="E50" s="106">
        <v>100000</v>
      </c>
      <c r="F50" s="106">
        <v>60000</v>
      </c>
      <c r="G50" s="106">
        <v>35000</v>
      </c>
      <c r="H50" s="106">
        <v>100000</v>
      </c>
      <c r="I50" s="106">
        <v>50000</v>
      </c>
      <c r="J50" s="106">
        <v>55000</v>
      </c>
      <c r="K50" s="106">
        <v>30000</v>
      </c>
      <c r="L50" s="106">
        <v>55000</v>
      </c>
      <c r="M50" s="106">
        <v>30000</v>
      </c>
      <c r="N50" s="106">
        <v>60000</v>
      </c>
      <c r="O50" s="106">
        <v>10000</v>
      </c>
      <c r="P50" s="106">
        <v>10000</v>
      </c>
      <c r="Q50" s="106">
        <v>20000</v>
      </c>
      <c r="R50" s="106">
        <v>10000</v>
      </c>
      <c r="S50" s="110">
        <v>0</v>
      </c>
      <c r="T50" s="147">
        <f t="shared" si="29"/>
        <v>800000</v>
      </c>
      <c r="U50" s="147">
        <f t="shared" si="30"/>
        <v>695000</v>
      </c>
      <c r="V50" s="1"/>
      <c r="W50" s="1"/>
      <c r="X50" s="1"/>
      <c r="Y50" s="1"/>
      <c r="Z50" s="1"/>
      <c r="AA50" s="1"/>
      <c r="AB50" s="1"/>
    </row>
    <row r="51" spans="1:28" hidden="1">
      <c r="A51" s="273"/>
      <c r="B51" s="104" t="s">
        <v>1</v>
      </c>
      <c r="C51" s="109">
        <f>SUM(C48:C50)</f>
        <v>300000</v>
      </c>
      <c r="D51" s="109">
        <f t="shared" ref="D51:S51" si="31">SUM(D48:D50)</f>
        <v>250000</v>
      </c>
      <c r="E51" s="109">
        <f t="shared" si="31"/>
        <v>260000</v>
      </c>
      <c r="F51" s="109">
        <f t="shared" si="31"/>
        <v>160000</v>
      </c>
      <c r="G51" s="109">
        <f t="shared" si="31"/>
        <v>140000</v>
      </c>
      <c r="H51" s="109">
        <f t="shared" si="31"/>
        <v>200000</v>
      </c>
      <c r="I51" s="109">
        <f t="shared" si="31"/>
        <v>135000</v>
      </c>
      <c r="J51" s="109">
        <f t="shared" si="31"/>
        <v>75000</v>
      </c>
      <c r="K51" s="109">
        <f t="shared" si="31"/>
        <v>60000</v>
      </c>
      <c r="L51" s="109">
        <f t="shared" si="31"/>
        <v>75000</v>
      </c>
      <c r="M51" s="109">
        <f t="shared" si="31"/>
        <v>60000</v>
      </c>
      <c r="N51" s="109">
        <f t="shared" si="31"/>
        <v>200000</v>
      </c>
      <c r="O51" s="109">
        <f t="shared" si="31"/>
        <v>60000</v>
      </c>
      <c r="P51" s="109">
        <f t="shared" si="31"/>
        <v>60000</v>
      </c>
      <c r="Q51" s="109">
        <f t="shared" si="31"/>
        <v>60000</v>
      </c>
      <c r="R51" s="109">
        <f t="shared" si="31"/>
        <v>60000</v>
      </c>
      <c r="S51" s="109">
        <f t="shared" si="31"/>
        <v>245000</v>
      </c>
      <c r="T51" s="147">
        <f>SUM(C51:S51)</f>
        <v>2400000</v>
      </c>
      <c r="U51" s="147">
        <f>SUM(D51:P51)</f>
        <v>1735000</v>
      </c>
      <c r="V51" s="1"/>
      <c r="W51" s="1"/>
      <c r="X51" s="1"/>
      <c r="Y51" s="1"/>
      <c r="Z51" s="1"/>
      <c r="AA51" s="1"/>
      <c r="AB51" s="1"/>
    </row>
    <row r="52" spans="1:28">
      <c r="A52" s="281" t="s">
        <v>48</v>
      </c>
      <c r="B52" s="112" t="s">
        <v>20</v>
      </c>
      <c r="C52" s="113">
        <v>125000</v>
      </c>
      <c r="D52" s="113">
        <v>100000</v>
      </c>
      <c r="E52" s="113">
        <v>90000</v>
      </c>
      <c r="F52" s="113">
        <v>67000</v>
      </c>
      <c r="G52" s="113">
        <v>70000</v>
      </c>
      <c r="H52" s="113">
        <v>75000</v>
      </c>
      <c r="I52" s="113">
        <v>40000</v>
      </c>
      <c r="J52" s="113">
        <v>30000</v>
      </c>
      <c r="K52" s="113">
        <v>30000</v>
      </c>
      <c r="L52" s="113">
        <v>30000</v>
      </c>
      <c r="M52" s="113">
        <v>40000</v>
      </c>
      <c r="N52" s="113">
        <v>50000</v>
      </c>
      <c r="O52" s="113">
        <v>30000</v>
      </c>
      <c r="P52" s="113">
        <v>30000</v>
      </c>
      <c r="Q52" s="138">
        <v>20000</v>
      </c>
      <c r="R52" s="138">
        <v>25000</v>
      </c>
      <c r="S52" s="139">
        <v>95000</v>
      </c>
      <c r="T52" s="149">
        <f>SUM(C52:S52)</f>
        <v>947000</v>
      </c>
      <c r="U52" s="149">
        <f>SUM(D52:P52)</f>
        <v>682000</v>
      </c>
      <c r="V52" s="1"/>
      <c r="W52" s="1"/>
      <c r="X52" s="1"/>
      <c r="Y52" s="1"/>
      <c r="Z52" s="1"/>
      <c r="AA52" s="1"/>
      <c r="AB52" s="1"/>
    </row>
    <row r="53" spans="1:28">
      <c r="A53" s="281"/>
      <c r="B53" s="112" t="s">
        <v>22</v>
      </c>
      <c r="C53" s="113">
        <v>75000</v>
      </c>
      <c r="D53" s="113">
        <v>60000</v>
      </c>
      <c r="E53" s="113">
        <v>75000</v>
      </c>
      <c r="F53" s="113">
        <v>25000</v>
      </c>
      <c r="G53" s="113">
        <v>40000</v>
      </c>
      <c r="H53" s="113">
        <v>25000</v>
      </c>
      <c r="I53" s="113">
        <v>40000</v>
      </c>
      <c r="J53" s="113">
        <v>0</v>
      </c>
      <c r="K53" s="113">
        <v>0</v>
      </c>
      <c r="L53" s="113">
        <v>0</v>
      </c>
      <c r="M53" s="113">
        <v>0</v>
      </c>
      <c r="N53" s="113">
        <v>100000</v>
      </c>
      <c r="O53" s="113">
        <v>30000</v>
      </c>
      <c r="P53" s="113">
        <v>30000</v>
      </c>
      <c r="Q53" s="138">
        <v>20000</v>
      </c>
      <c r="R53" s="138">
        <v>25000</v>
      </c>
      <c r="S53" s="139">
        <v>150000</v>
      </c>
      <c r="T53" s="149">
        <f t="shared" ref="T53:T54" si="32">SUM(C53:S53)</f>
        <v>695000</v>
      </c>
      <c r="U53" s="149">
        <f t="shared" ref="U53:U54" si="33">SUM(D53:P53)</f>
        <v>425000</v>
      </c>
      <c r="V53" s="1"/>
      <c r="W53" s="1"/>
      <c r="X53" s="1"/>
      <c r="Y53" s="1"/>
      <c r="Z53" s="1"/>
      <c r="AA53" s="1"/>
      <c r="AB53" s="1"/>
    </row>
    <row r="54" spans="1:28">
      <c r="A54" s="281"/>
      <c r="B54" s="114" t="s">
        <v>28</v>
      </c>
      <c r="C54" s="113">
        <v>75000</v>
      </c>
      <c r="D54" s="113">
        <v>100000</v>
      </c>
      <c r="E54" s="113">
        <v>105000</v>
      </c>
      <c r="F54" s="113">
        <v>60000</v>
      </c>
      <c r="G54" s="113">
        <v>35000</v>
      </c>
      <c r="H54" s="113">
        <v>125000</v>
      </c>
      <c r="I54" s="113">
        <v>40000</v>
      </c>
      <c r="J54" s="113">
        <v>50000</v>
      </c>
      <c r="K54" s="113">
        <v>40000</v>
      </c>
      <c r="L54" s="113">
        <v>50000</v>
      </c>
      <c r="M54" s="113">
        <v>40000</v>
      </c>
      <c r="N54" s="113">
        <v>80000</v>
      </c>
      <c r="O54" s="113">
        <v>10000</v>
      </c>
      <c r="P54" s="113">
        <v>10000</v>
      </c>
      <c r="Q54" s="138">
        <v>20000</v>
      </c>
      <c r="R54" s="138">
        <v>10000</v>
      </c>
      <c r="S54" s="140">
        <v>0</v>
      </c>
      <c r="T54" s="149">
        <f t="shared" si="32"/>
        <v>850000</v>
      </c>
      <c r="U54" s="149">
        <f t="shared" si="33"/>
        <v>745000</v>
      </c>
      <c r="V54" s="1"/>
      <c r="W54" s="1"/>
      <c r="X54" s="1"/>
      <c r="Y54" s="1"/>
      <c r="Z54" s="1"/>
      <c r="AA54" s="1"/>
      <c r="AB54" s="1"/>
    </row>
    <row r="55" spans="1:28">
      <c r="A55" s="281"/>
      <c r="B55" s="148" t="s">
        <v>1</v>
      </c>
      <c r="C55" s="150">
        <f>SUM(C52:C54)</f>
        <v>275000</v>
      </c>
      <c r="D55" s="150">
        <f>SUM(D52:D54)</f>
        <v>260000</v>
      </c>
      <c r="E55" s="150">
        <f t="shared" ref="E55:O55" si="34">SUM(E52:E54)</f>
        <v>270000</v>
      </c>
      <c r="F55" s="150">
        <f t="shared" si="34"/>
        <v>152000</v>
      </c>
      <c r="G55" s="150">
        <f t="shared" si="34"/>
        <v>145000</v>
      </c>
      <c r="H55" s="150">
        <f t="shared" si="34"/>
        <v>225000</v>
      </c>
      <c r="I55" s="150">
        <f t="shared" si="34"/>
        <v>120000</v>
      </c>
      <c r="J55" s="150">
        <f t="shared" si="34"/>
        <v>80000</v>
      </c>
      <c r="K55" s="150">
        <f t="shared" si="34"/>
        <v>70000</v>
      </c>
      <c r="L55" s="150">
        <f t="shared" si="34"/>
        <v>80000</v>
      </c>
      <c r="M55" s="150">
        <f t="shared" si="34"/>
        <v>80000</v>
      </c>
      <c r="N55" s="150">
        <f t="shared" si="34"/>
        <v>230000</v>
      </c>
      <c r="O55" s="150">
        <f t="shared" si="34"/>
        <v>70000</v>
      </c>
      <c r="P55" s="150">
        <f>SUM(P52:P54)</f>
        <v>70000</v>
      </c>
      <c r="Q55" s="151">
        <f>SUM(Q52:Q54)</f>
        <v>60000</v>
      </c>
      <c r="R55" s="151">
        <f>SUM(R52:R54)</f>
        <v>60000</v>
      </c>
      <c r="S55" s="151">
        <f>SUM(S52:S54)</f>
        <v>245000</v>
      </c>
      <c r="T55" s="149">
        <f>SUM(C55:S55)</f>
        <v>2492000</v>
      </c>
      <c r="U55" s="149">
        <f>SUM(C55:P55)</f>
        <v>2127000</v>
      </c>
      <c r="V55" s="96"/>
      <c r="W55" s="1"/>
      <c r="X55" s="1"/>
      <c r="Y55" s="1"/>
      <c r="Z55" s="1"/>
      <c r="AA55" s="1"/>
      <c r="AB55" s="1"/>
    </row>
    <row r="56" spans="1:28" ht="16.5">
      <c r="A56" s="246" t="s">
        <v>49</v>
      </c>
      <c r="B56" s="246" t="s">
        <v>50</v>
      </c>
      <c r="C56" s="247">
        <v>0.65</v>
      </c>
      <c r="D56" s="247">
        <v>0.65</v>
      </c>
      <c r="E56" s="247">
        <v>0.65</v>
      </c>
      <c r="F56" s="247">
        <v>0.54</v>
      </c>
      <c r="G56" s="247">
        <v>0.65</v>
      </c>
      <c r="H56" s="247">
        <v>0.35</v>
      </c>
      <c r="I56" s="247">
        <v>0.54</v>
      </c>
      <c r="J56" s="247">
        <v>0.54</v>
      </c>
      <c r="K56" s="247">
        <v>0.54</v>
      </c>
      <c r="L56" s="247">
        <v>0.35</v>
      </c>
      <c r="M56" s="247">
        <v>0.54</v>
      </c>
      <c r="N56" s="247">
        <v>0.35</v>
      </c>
      <c r="O56" s="247">
        <v>0.54</v>
      </c>
      <c r="P56" s="247">
        <v>0.35</v>
      </c>
      <c r="Q56" s="247">
        <v>0.54</v>
      </c>
      <c r="R56" s="247">
        <v>0.54</v>
      </c>
      <c r="S56" s="247">
        <v>0.65</v>
      </c>
      <c r="T56" s="245"/>
      <c r="U56" s="245"/>
      <c r="V56" s="96"/>
      <c r="W56" s="1"/>
      <c r="X56" s="1"/>
      <c r="Y56" s="1"/>
      <c r="Z56" s="1"/>
      <c r="AA56" s="1"/>
      <c r="AB56" s="1"/>
    </row>
    <row r="57" spans="1:28" ht="16.5">
      <c r="A57" s="246" t="s">
        <v>51</v>
      </c>
      <c r="B57" s="246" t="s">
        <v>50</v>
      </c>
      <c r="C57" s="247">
        <v>0.35</v>
      </c>
      <c r="D57" s="247">
        <v>0.35</v>
      </c>
      <c r="E57" s="247">
        <v>0.35</v>
      </c>
      <c r="F57" s="247">
        <v>0.46</v>
      </c>
      <c r="G57" s="247">
        <v>0.35</v>
      </c>
      <c r="H57" s="247">
        <v>0.65</v>
      </c>
      <c r="I57" s="247">
        <v>0.46</v>
      </c>
      <c r="J57" s="247">
        <v>0.46</v>
      </c>
      <c r="K57" s="247">
        <v>0.46</v>
      </c>
      <c r="L57" s="247">
        <v>0.65</v>
      </c>
      <c r="M57" s="247">
        <v>0.46</v>
      </c>
      <c r="N57" s="247">
        <v>0.65</v>
      </c>
      <c r="O57" s="247">
        <v>0.46</v>
      </c>
      <c r="P57" s="247">
        <v>0.65</v>
      </c>
      <c r="Q57" s="247">
        <v>0.46</v>
      </c>
      <c r="R57" s="247">
        <v>0.46</v>
      </c>
      <c r="S57" s="247">
        <v>0.35</v>
      </c>
      <c r="T57" s="245"/>
      <c r="U57" s="245"/>
      <c r="V57" s="96"/>
      <c r="W57" s="1"/>
      <c r="X57" s="1"/>
      <c r="Y57" s="1"/>
      <c r="Z57" s="1"/>
      <c r="AA57" s="1"/>
      <c r="AB57" s="1"/>
    </row>
    <row r="58" spans="1:28">
      <c r="A58" s="243"/>
      <c r="B58" s="243"/>
      <c r="C58" s="244"/>
      <c r="D58" s="244"/>
      <c r="E58" s="244"/>
      <c r="F58" s="244"/>
      <c r="G58" s="244"/>
      <c r="H58" s="244"/>
      <c r="I58" s="244"/>
      <c r="J58" s="244"/>
      <c r="K58" s="244"/>
      <c r="L58" s="244"/>
      <c r="M58" s="244"/>
      <c r="N58" s="244"/>
      <c r="O58" s="244"/>
      <c r="P58" s="244"/>
      <c r="Q58" s="244"/>
      <c r="R58" s="244"/>
      <c r="S58" s="244"/>
      <c r="T58" s="245"/>
      <c r="U58" s="245"/>
      <c r="V58" s="96"/>
      <c r="W58" s="1"/>
      <c r="X58" s="1"/>
      <c r="Y58" s="1"/>
      <c r="Z58" s="1"/>
      <c r="AA58" s="1"/>
      <c r="AB58" s="1"/>
    </row>
    <row r="59" spans="1:28">
      <c r="A59" s="243"/>
      <c r="B59" s="243"/>
      <c r="C59" s="244"/>
      <c r="D59" s="244"/>
      <c r="E59" s="244"/>
      <c r="F59" s="244"/>
      <c r="G59" s="244"/>
      <c r="H59" s="244"/>
      <c r="I59" s="244"/>
      <c r="J59" s="244"/>
      <c r="K59" s="244"/>
      <c r="L59" s="244"/>
      <c r="M59" s="244"/>
      <c r="N59" s="244"/>
      <c r="O59" s="244"/>
      <c r="P59" s="244"/>
      <c r="Q59" s="244"/>
      <c r="R59" s="244"/>
      <c r="S59" s="244"/>
      <c r="T59" s="245"/>
      <c r="U59" s="245"/>
      <c r="V59" s="96"/>
      <c r="W59" s="1"/>
      <c r="X59" s="1"/>
      <c r="Y59" s="1"/>
      <c r="Z59" s="1"/>
      <c r="AA59" s="1"/>
      <c r="AB59" s="1"/>
    </row>
    <row r="60" spans="1:28">
      <c r="A60" s="243"/>
      <c r="B60" s="243"/>
      <c r="C60" s="244"/>
      <c r="D60" s="244"/>
      <c r="E60" s="244"/>
      <c r="F60" s="244"/>
      <c r="G60" s="244"/>
      <c r="H60" s="244"/>
      <c r="I60" s="244"/>
      <c r="J60" s="244"/>
      <c r="K60" s="244"/>
      <c r="L60" s="244"/>
      <c r="M60" s="244"/>
      <c r="N60" s="244"/>
      <c r="O60" s="244"/>
      <c r="P60" s="244"/>
      <c r="Q60" s="244"/>
      <c r="R60" s="244"/>
      <c r="S60" s="244"/>
      <c r="T60" s="245"/>
      <c r="U60" s="245"/>
      <c r="V60" s="96"/>
      <c r="W60" s="1"/>
      <c r="X60" s="1"/>
      <c r="Y60" s="1"/>
      <c r="Z60" s="1"/>
      <c r="AA60" s="1"/>
      <c r="AB60" s="1"/>
    </row>
    <row r="61" spans="1:28" ht="15.75" thickBot="1">
      <c r="A61" s="24"/>
      <c r="B61" s="24"/>
      <c r="C61" s="24"/>
      <c r="D61" s="24"/>
      <c r="E61" s="24"/>
      <c r="F61" s="24"/>
      <c r="G61" s="24"/>
      <c r="T61" s="95"/>
      <c r="U61" s="1"/>
      <c r="V61" s="1"/>
      <c r="W61" s="1"/>
      <c r="X61" s="1"/>
      <c r="Y61" s="1"/>
      <c r="Z61" s="1"/>
      <c r="AA61" s="1"/>
      <c r="AB61" s="1"/>
    </row>
    <row r="62" spans="1:28" hidden="1">
      <c r="A62" s="82" t="s">
        <v>52</v>
      </c>
      <c r="B62" s="83">
        <f>SUM(C62:S62)</f>
        <v>2500.7095125343167</v>
      </c>
      <c r="C62" s="84">
        <f t="shared" ref="C62:S62" si="35">SUM(C39/C4)/2*0.75</f>
        <v>296.71494171670787</v>
      </c>
      <c r="D62" s="84">
        <f t="shared" si="35"/>
        <v>210.23125437981781</v>
      </c>
      <c r="E62" s="84">
        <f t="shared" si="35"/>
        <v>140.31805425631433</v>
      </c>
      <c r="F62" s="84">
        <f t="shared" si="35"/>
        <v>213.37126600284495</v>
      </c>
      <c r="G62" s="84">
        <f t="shared" si="35"/>
        <v>293.06414848583523</v>
      </c>
      <c r="H62" s="84">
        <f t="shared" si="35"/>
        <v>223.32506203473946</v>
      </c>
      <c r="I62" s="84">
        <f t="shared" si="35"/>
        <v>32.594524119947849</v>
      </c>
      <c r="J62" s="84">
        <f t="shared" si="35"/>
        <v>58.365758754863805</v>
      </c>
      <c r="K62" s="84">
        <f t="shared" si="35"/>
        <v>37.840565085771942</v>
      </c>
      <c r="L62" s="84">
        <f t="shared" si="35"/>
        <v>100.44642857142856</v>
      </c>
      <c r="M62" s="84">
        <f t="shared" si="35"/>
        <v>18.17814582912543</v>
      </c>
      <c r="N62" s="84">
        <f t="shared" si="35"/>
        <v>330.88235294117646</v>
      </c>
      <c r="O62" s="84">
        <f t="shared" si="35"/>
        <v>40.300913487372384</v>
      </c>
      <c r="P62" s="84">
        <f t="shared" si="35"/>
        <v>20.97902097902098</v>
      </c>
      <c r="Q62" s="84">
        <f t="shared" si="35"/>
        <v>37.354214800569991</v>
      </c>
      <c r="R62" s="84">
        <f t="shared" si="35"/>
        <v>37.354214800569991</v>
      </c>
      <c r="S62" s="84">
        <f t="shared" si="35"/>
        <v>409.38864628820966</v>
      </c>
      <c r="T62" s="142"/>
      <c r="Y62" s="1"/>
      <c r="Z62" s="1"/>
      <c r="AA62" s="1"/>
      <c r="AB62" s="1"/>
    </row>
    <row r="63" spans="1:28" hidden="1">
      <c r="A63" s="85" t="s">
        <v>53</v>
      </c>
      <c r="B63" s="52">
        <f>SUM(C63:S63)</f>
        <v>472.09112195020083</v>
      </c>
      <c r="C63" s="23">
        <f t="shared" ref="C63:S63" si="36">SUM(C62*C21)</f>
        <v>77.145884846344046</v>
      </c>
      <c r="D63" s="23">
        <f t="shared" si="36"/>
        <v>56.762438682550815</v>
      </c>
      <c r="E63" s="23">
        <f t="shared" si="36"/>
        <v>26.660430308699723</v>
      </c>
      <c r="F63" s="23">
        <f t="shared" si="36"/>
        <v>25.604551920341393</v>
      </c>
      <c r="G63" s="23">
        <f t="shared" si="36"/>
        <v>35.167697818300226</v>
      </c>
      <c r="H63" s="23">
        <f t="shared" si="36"/>
        <v>42.431761786600497</v>
      </c>
      <c r="I63" s="23">
        <f t="shared" si="36"/>
        <v>11.734028683181226</v>
      </c>
      <c r="J63" s="23">
        <f t="shared" si="36"/>
        <v>5.836575875486381</v>
      </c>
      <c r="K63" s="23">
        <f t="shared" si="36"/>
        <v>4.5408678102926325</v>
      </c>
      <c r="L63" s="23">
        <f t="shared" si="36"/>
        <v>19.084821428571427</v>
      </c>
      <c r="M63" s="23">
        <f t="shared" si="36"/>
        <v>3.4538477075338316</v>
      </c>
      <c r="N63" s="23">
        <f t="shared" si="36"/>
        <v>62.867647058823529</v>
      </c>
      <c r="O63" s="23">
        <f t="shared" si="36"/>
        <v>4.8361096184846861</v>
      </c>
      <c r="P63" s="23">
        <f t="shared" si="36"/>
        <v>3.9860139860139863</v>
      </c>
      <c r="Q63" s="23">
        <f t="shared" si="36"/>
        <v>7.0973008121082986</v>
      </c>
      <c r="R63" s="23">
        <f t="shared" si="36"/>
        <v>7.0973008121082986</v>
      </c>
      <c r="S63" s="23">
        <f t="shared" si="36"/>
        <v>77.783842794759835</v>
      </c>
      <c r="T63" s="142"/>
      <c r="Y63" s="1"/>
      <c r="Z63" s="1"/>
      <c r="AA63" s="1"/>
      <c r="AB63" s="1"/>
    </row>
    <row r="64" spans="1:28" hidden="1">
      <c r="A64" s="85" t="s">
        <v>54</v>
      </c>
      <c r="B64" s="115">
        <f>SUM(T39/B62)</f>
        <v>959.72762448835817</v>
      </c>
      <c r="C64" s="116">
        <f t="shared" ref="C64:S64" si="37">SUM(C39/C62)</f>
        <v>943.66666666666674</v>
      </c>
      <c r="D64" s="116">
        <f t="shared" si="37"/>
        <v>1427</v>
      </c>
      <c r="E64" s="116">
        <f t="shared" si="37"/>
        <v>712.66666666666663</v>
      </c>
      <c r="F64" s="116">
        <f t="shared" si="37"/>
        <v>1406</v>
      </c>
      <c r="G64" s="116">
        <f t="shared" si="37"/>
        <v>1023.6666666666666</v>
      </c>
      <c r="H64" s="116">
        <f t="shared" si="37"/>
        <v>268.66666666666669</v>
      </c>
      <c r="I64" s="116">
        <f t="shared" si="37"/>
        <v>3068</v>
      </c>
      <c r="J64" s="116">
        <f t="shared" si="37"/>
        <v>2570.0000000000005</v>
      </c>
      <c r="K64" s="116">
        <f t="shared" si="37"/>
        <v>2642.666666666667</v>
      </c>
      <c r="L64" s="116">
        <f t="shared" si="37"/>
        <v>597.33333333333348</v>
      </c>
      <c r="M64" s="116">
        <f t="shared" si="37"/>
        <v>3300.6666666666665</v>
      </c>
      <c r="N64" s="116">
        <f t="shared" si="37"/>
        <v>181.33333333333334</v>
      </c>
      <c r="O64" s="116">
        <f t="shared" si="37"/>
        <v>2481.333333333333</v>
      </c>
      <c r="P64" s="116">
        <f t="shared" si="37"/>
        <v>2860</v>
      </c>
      <c r="Q64" s="116">
        <f t="shared" si="37"/>
        <v>1606.2444444444448</v>
      </c>
      <c r="R64" s="116">
        <f t="shared" si="37"/>
        <v>1606.2444444444448</v>
      </c>
      <c r="S64" s="116">
        <f t="shared" si="37"/>
        <v>610.66666666666663</v>
      </c>
      <c r="T64" s="142"/>
      <c r="Y64" s="1"/>
      <c r="Z64" s="1"/>
      <c r="AA64" s="1"/>
      <c r="AB64" s="1"/>
    </row>
    <row r="65" spans="1:28" ht="15.75" hidden="1" thickBot="1">
      <c r="A65" s="117" t="s">
        <v>55</v>
      </c>
      <c r="B65" s="118">
        <f>SUM(T39/B63)</f>
        <v>5083.7643166972484</v>
      </c>
      <c r="C65" s="119">
        <f t="shared" ref="C65:S65" si="38">SUM(C39/C63)</f>
        <v>3629.4871794871797</v>
      </c>
      <c r="D65" s="119">
        <f t="shared" si="38"/>
        <v>5285.1851851851843</v>
      </c>
      <c r="E65" s="119">
        <f t="shared" si="38"/>
        <v>3750.8771929824557</v>
      </c>
      <c r="F65" s="119">
        <f t="shared" si="38"/>
        <v>11716.666666666668</v>
      </c>
      <c r="G65" s="119">
        <f t="shared" si="38"/>
        <v>8530.5555555555566</v>
      </c>
      <c r="H65" s="119">
        <f t="shared" si="38"/>
        <v>1414.0350877192982</v>
      </c>
      <c r="I65" s="119">
        <f t="shared" si="38"/>
        <v>8522.2222222222226</v>
      </c>
      <c r="J65" s="119">
        <f t="shared" si="38"/>
        <v>25700</v>
      </c>
      <c r="K65" s="119">
        <f t="shared" si="38"/>
        <v>22022.222222222226</v>
      </c>
      <c r="L65" s="119">
        <f t="shared" si="38"/>
        <v>3143.8596491228072</v>
      </c>
      <c r="M65" s="119">
        <f t="shared" si="38"/>
        <v>17371.929824561405</v>
      </c>
      <c r="N65" s="119">
        <f t="shared" si="38"/>
        <v>954.38596491228066</v>
      </c>
      <c r="O65" s="119">
        <f t="shared" si="38"/>
        <v>20677.777777777777</v>
      </c>
      <c r="P65" s="119">
        <f t="shared" si="38"/>
        <v>15052.631578947368</v>
      </c>
      <c r="Q65" s="119">
        <f t="shared" si="38"/>
        <v>8453.918128654972</v>
      </c>
      <c r="R65" s="119">
        <f t="shared" si="38"/>
        <v>8453.918128654972</v>
      </c>
      <c r="S65" s="119">
        <f t="shared" si="38"/>
        <v>3214.0350877192977</v>
      </c>
      <c r="T65" s="142"/>
      <c r="Y65" s="1"/>
      <c r="Z65" s="1"/>
      <c r="AA65" s="1"/>
      <c r="AB65" s="1"/>
    </row>
    <row r="66" spans="1:28" hidden="1">
      <c r="A66" s="82" t="s">
        <v>56</v>
      </c>
      <c r="B66" s="83">
        <f>SUM(C66:S66)</f>
        <v>4722.3743352417632</v>
      </c>
      <c r="C66" s="84">
        <f t="shared" ref="C66:S66" si="39">SUM(C43/C4)/2*0.75</f>
        <v>260.68527022253625</v>
      </c>
      <c r="D66" s="84">
        <f t="shared" si="39"/>
        <v>125.43798177995794</v>
      </c>
      <c r="E66" s="84">
        <f t="shared" si="39"/>
        <v>332.55378858746496</v>
      </c>
      <c r="F66" s="84">
        <f t="shared" si="39"/>
        <v>53.342816500711237</v>
      </c>
      <c r="G66" s="84">
        <f t="shared" si="39"/>
        <v>128.94822533376748</v>
      </c>
      <c r="H66" s="84">
        <f t="shared" si="39"/>
        <v>2315.1364764267992</v>
      </c>
      <c r="I66" s="84">
        <f t="shared" si="39"/>
        <v>43.024771838331162</v>
      </c>
      <c r="J66" s="84">
        <f t="shared" si="39"/>
        <v>0</v>
      </c>
      <c r="K66" s="84">
        <f t="shared" si="39"/>
        <v>0</v>
      </c>
      <c r="L66" s="84">
        <f t="shared" si="39"/>
        <v>472.09821428571422</v>
      </c>
      <c r="M66" s="84">
        <f t="shared" si="39"/>
        <v>0</v>
      </c>
      <c r="N66" s="84">
        <f t="shared" si="39"/>
        <v>523.89705882352939</v>
      </c>
      <c r="O66" s="84">
        <f t="shared" si="39"/>
        <v>0</v>
      </c>
      <c r="P66" s="84">
        <f t="shared" si="39"/>
        <v>0</v>
      </c>
      <c r="Q66" s="84">
        <f t="shared" si="39"/>
        <v>0</v>
      </c>
      <c r="R66" s="84">
        <f t="shared" si="39"/>
        <v>115.17549563509081</v>
      </c>
      <c r="S66" s="84">
        <f t="shared" si="39"/>
        <v>352.07423580786025</v>
      </c>
      <c r="T66" s="142"/>
      <c r="Y66" s="1"/>
      <c r="Z66" s="1"/>
      <c r="AA66" s="1"/>
      <c r="AB66" s="1"/>
    </row>
    <row r="67" spans="1:28" hidden="1">
      <c r="A67" s="85" t="s">
        <v>57</v>
      </c>
      <c r="B67" s="52">
        <f>SUM(C67:S67)</f>
        <v>920.08796943801178</v>
      </c>
      <c r="C67" s="23">
        <f t="shared" ref="C67:S67" si="40">SUM(C66*C21)</f>
        <v>67.778170257859429</v>
      </c>
      <c r="D67" s="23">
        <f t="shared" si="40"/>
        <v>33.868255080588646</v>
      </c>
      <c r="E67" s="23">
        <f t="shared" si="40"/>
        <v>63.185219831618348</v>
      </c>
      <c r="F67" s="23">
        <f t="shared" si="40"/>
        <v>6.4011379800853483</v>
      </c>
      <c r="G67" s="23">
        <f t="shared" si="40"/>
        <v>15.473787040052096</v>
      </c>
      <c r="H67" s="23">
        <f t="shared" si="40"/>
        <v>439.87593052109185</v>
      </c>
      <c r="I67" s="23">
        <f t="shared" si="40"/>
        <v>15.488917861799218</v>
      </c>
      <c r="J67" s="23">
        <f t="shared" si="40"/>
        <v>0</v>
      </c>
      <c r="K67" s="23">
        <f t="shared" si="40"/>
        <v>0</v>
      </c>
      <c r="L67" s="23">
        <f t="shared" si="40"/>
        <v>89.698660714285708</v>
      </c>
      <c r="M67" s="23">
        <f t="shared" si="40"/>
        <v>0</v>
      </c>
      <c r="N67" s="23">
        <f t="shared" si="40"/>
        <v>99.54044117647058</v>
      </c>
      <c r="O67" s="23">
        <f t="shared" si="40"/>
        <v>0</v>
      </c>
      <c r="P67" s="23">
        <f t="shared" si="40"/>
        <v>0</v>
      </c>
      <c r="Q67" s="23">
        <f t="shared" si="40"/>
        <v>0</v>
      </c>
      <c r="R67" s="23">
        <f t="shared" si="40"/>
        <v>21.883344170667254</v>
      </c>
      <c r="S67" s="86">
        <f t="shared" si="40"/>
        <v>66.894104803493448</v>
      </c>
      <c r="T67" s="142"/>
      <c r="Y67" s="1"/>
      <c r="Z67" s="1"/>
      <c r="AA67" s="1"/>
      <c r="AB67" s="1"/>
    </row>
    <row r="68" spans="1:28" hidden="1">
      <c r="A68" s="85" t="s">
        <v>58</v>
      </c>
      <c r="B68" s="115">
        <f>SUM(T43/B66)</f>
        <v>508.21892328388054</v>
      </c>
      <c r="C68" s="116">
        <f t="shared" ref="C68:I68" si="41">SUM(C43/C66)</f>
        <v>943.66666666666652</v>
      </c>
      <c r="D68" s="116">
        <f t="shared" si="41"/>
        <v>1427.0000000000002</v>
      </c>
      <c r="E68" s="116">
        <f t="shared" si="41"/>
        <v>712.66666666666663</v>
      </c>
      <c r="F68" s="116">
        <f t="shared" si="41"/>
        <v>1406</v>
      </c>
      <c r="G68" s="116">
        <f t="shared" si="41"/>
        <v>1023.6666666666669</v>
      </c>
      <c r="H68" s="116">
        <f t="shared" si="41"/>
        <v>268.66666666666663</v>
      </c>
      <c r="I68" s="116">
        <f t="shared" si="41"/>
        <v>3068</v>
      </c>
      <c r="J68" s="116">
        <v>0</v>
      </c>
      <c r="K68" s="116">
        <v>0</v>
      </c>
      <c r="L68" s="116">
        <f>SUM(L43/L66)</f>
        <v>597.33333333333337</v>
      </c>
      <c r="M68" s="116">
        <v>0</v>
      </c>
      <c r="N68" s="116">
        <f>SUM(N43/N66)</f>
        <v>181.33333333333334</v>
      </c>
      <c r="O68" s="116">
        <v>0</v>
      </c>
      <c r="P68" s="116">
        <v>0</v>
      </c>
      <c r="Q68" s="116">
        <v>0</v>
      </c>
      <c r="R68" s="116">
        <f>SUM(R43/R66)</f>
        <v>1606.2444444444448</v>
      </c>
      <c r="S68" s="116">
        <f>SUM(S43/S66)</f>
        <v>610.66666666666674</v>
      </c>
      <c r="T68" s="142"/>
      <c r="W68" s="33"/>
    </row>
    <row r="69" spans="1:28" ht="15.75" hidden="1" thickBot="1">
      <c r="A69" s="117" t="s">
        <v>59</v>
      </c>
      <c r="B69" s="118">
        <f>SUM(T43/B67)</f>
        <v>2608.4462352723904</v>
      </c>
      <c r="C69" s="119">
        <f t="shared" ref="C69:I69" si="42">SUM(C43/C67)</f>
        <v>3629.4871794871788</v>
      </c>
      <c r="D69" s="119">
        <f t="shared" si="42"/>
        <v>5285.1851851851852</v>
      </c>
      <c r="E69" s="119">
        <f t="shared" si="42"/>
        <v>3750.8771929824552</v>
      </c>
      <c r="F69" s="119">
        <f t="shared" si="42"/>
        <v>11716.666666666668</v>
      </c>
      <c r="G69" s="119">
        <f t="shared" si="42"/>
        <v>8530.5555555555584</v>
      </c>
      <c r="H69" s="119">
        <f t="shared" si="42"/>
        <v>1414.0350877192982</v>
      </c>
      <c r="I69" s="119">
        <f t="shared" si="42"/>
        <v>8522.2222222222226</v>
      </c>
      <c r="J69" s="119">
        <v>0</v>
      </c>
      <c r="K69" s="119">
        <v>0</v>
      </c>
      <c r="L69" s="119">
        <f>SUM(L43/L67)</f>
        <v>3143.8596491228072</v>
      </c>
      <c r="M69" s="119">
        <v>0</v>
      </c>
      <c r="N69" s="119">
        <f>SUM(N43/N67)</f>
        <v>954.38596491228077</v>
      </c>
      <c r="O69" s="119">
        <v>0</v>
      </c>
      <c r="P69" s="119">
        <v>0</v>
      </c>
      <c r="Q69" s="119">
        <v>0</v>
      </c>
      <c r="R69" s="119">
        <f>SUM(R43/R67)</f>
        <v>8453.918128654972</v>
      </c>
      <c r="S69" s="119">
        <f>SUM(S43/S67)</f>
        <v>3214.0350877192982</v>
      </c>
      <c r="T69" s="142"/>
      <c r="W69" s="33"/>
    </row>
    <row r="70" spans="1:28" hidden="1">
      <c r="A70" s="82" t="s">
        <v>60</v>
      </c>
      <c r="B70" s="83">
        <f>SUM(C70:S70)</f>
        <v>4068.6193495071338</v>
      </c>
      <c r="C70" s="84">
        <f t="shared" ref="C70:S70" si="43">SUM(C47/C4)/2*0.75</f>
        <v>370.89367714588485</v>
      </c>
      <c r="D70" s="84">
        <f t="shared" si="43"/>
        <v>196.21583742116329</v>
      </c>
      <c r="E70" s="84">
        <f t="shared" si="43"/>
        <v>413.93826005612721</v>
      </c>
      <c r="F70" s="84">
        <f t="shared" si="43"/>
        <v>113.79800853485064</v>
      </c>
      <c r="G70" s="84">
        <f t="shared" si="43"/>
        <v>156.30087919244545</v>
      </c>
      <c r="H70" s="84">
        <f t="shared" si="43"/>
        <v>837.46898263027288</v>
      </c>
      <c r="I70" s="84">
        <f t="shared" si="43"/>
        <v>52.15123859191656</v>
      </c>
      <c r="J70" s="84">
        <f t="shared" si="43"/>
        <v>33.07392996108949</v>
      </c>
      <c r="K70" s="84">
        <f t="shared" si="43"/>
        <v>0</v>
      </c>
      <c r="L70" s="84">
        <f t="shared" si="43"/>
        <v>142.29910714285714</v>
      </c>
      <c r="M70" s="84">
        <f t="shared" si="43"/>
        <v>0</v>
      </c>
      <c r="N70" s="84">
        <f t="shared" si="43"/>
        <v>1268.3823529411766</v>
      </c>
      <c r="O70" s="84">
        <f t="shared" si="43"/>
        <v>0</v>
      </c>
      <c r="P70" s="84">
        <f t="shared" si="43"/>
        <v>0</v>
      </c>
      <c r="Q70" s="84">
        <f t="shared" si="43"/>
        <v>37.354214800569991</v>
      </c>
      <c r="R70" s="84">
        <f t="shared" si="43"/>
        <v>37.354214800569991</v>
      </c>
      <c r="S70" s="84">
        <f t="shared" si="43"/>
        <v>409.38864628820966</v>
      </c>
      <c r="T70" s="142"/>
      <c r="W70" s="33"/>
    </row>
    <row r="71" spans="1:28" hidden="1">
      <c r="A71" s="85" t="s">
        <v>61</v>
      </c>
      <c r="B71" s="52">
        <f>SUM(C71:S71)</f>
        <v>801.67963552347737</v>
      </c>
      <c r="C71" s="23">
        <f t="shared" ref="C71:S71" si="44">SUM(C70*C21)</f>
        <v>96.432356057930065</v>
      </c>
      <c r="D71" s="23">
        <f t="shared" si="44"/>
        <v>52.978276103714087</v>
      </c>
      <c r="E71" s="23">
        <f t="shared" si="44"/>
        <v>78.64826941066417</v>
      </c>
      <c r="F71" s="23">
        <f t="shared" si="44"/>
        <v>13.655761024182077</v>
      </c>
      <c r="G71" s="23">
        <f t="shared" si="44"/>
        <v>18.756105503093455</v>
      </c>
      <c r="H71" s="23">
        <f t="shared" si="44"/>
        <v>159.11910669975185</v>
      </c>
      <c r="I71" s="23">
        <f t="shared" si="44"/>
        <v>18.774445893089961</v>
      </c>
      <c r="J71" s="23">
        <f t="shared" si="44"/>
        <v>3.3073929961089492</v>
      </c>
      <c r="K71" s="23">
        <f t="shared" si="44"/>
        <v>0</v>
      </c>
      <c r="L71" s="23">
        <f t="shared" si="44"/>
        <v>27.036830357142858</v>
      </c>
      <c r="M71" s="23">
        <f t="shared" si="44"/>
        <v>0</v>
      </c>
      <c r="N71" s="23">
        <f t="shared" si="44"/>
        <v>240.99264705882356</v>
      </c>
      <c r="O71" s="23">
        <f t="shared" si="44"/>
        <v>0</v>
      </c>
      <c r="P71" s="23">
        <f t="shared" si="44"/>
        <v>0</v>
      </c>
      <c r="Q71" s="23">
        <f t="shared" si="44"/>
        <v>7.0973008121082986</v>
      </c>
      <c r="R71" s="23">
        <f t="shared" si="44"/>
        <v>7.0973008121082986</v>
      </c>
      <c r="S71" s="23">
        <f t="shared" si="44"/>
        <v>77.783842794759835</v>
      </c>
      <c r="T71" s="142"/>
      <c r="W71" s="33"/>
    </row>
    <row r="72" spans="1:28" hidden="1">
      <c r="A72" s="85" t="s">
        <v>62</v>
      </c>
      <c r="B72" s="115">
        <f>SUM(T47/B70)</f>
        <v>589.88069264595424</v>
      </c>
      <c r="C72" s="116">
        <f t="shared" ref="C72:J72" si="45">SUM(C47/C70)</f>
        <v>943.66666666666663</v>
      </c>
      <c r="D72" s="116">
        <f t="shared" si="45"/>
        <v>1427</v>
      </c>
      <c r="E72" s="116">
        <f t="shared" si="45"/>
        <v>712.66666666666674</v>
      </c>
      <c r="F72" s="116">
        <f t="shared" si="45"/>
        <v>1406</v>
      </c>
      <c r="G72" s="116">
        <f t="shared" si="45"/>
        <v>1023.6666666666667</v>
      </c>
      <c r="H72" s="116">
        <f t="shared" si="45"/>
        <v>268.66666666666669</v>
      </c>
      <c r="I72" s="116">
        <f t="shared" si="45"/>
        <v>3068</v>
      </c>
      <c r="J72" s="116">
        <f t="shared" si="45"/>
        <v>2570.0000000000005</v>
      </c>
      <c r="K72" s="116">
        <v>0</v>
      </c>
      <c r="L72" s="116">
        <f>SUM(L47/L70)</f>
        <v>597.33333333333337</v>
      </c>
      <c r="M72" s="116">
        <v>0</v>
      </c>
      <c r="N72" s="116">
        <f>SUM(N47/N70)</f>
        <v>181.33333333333331</v>
      </c>
      <c r="O72" s="116">
        <v>0</v>
      </c>
      <c r="P72" s="116">
        <v>0</v>
      </c>
      <c r="Q72" s="116">
        <f>SUM(Q47/Q70)</f>
        <v>1606.2444444444448</v>
      </c>
      <c r="R72" s="116">
        <f>SUM(R47/R70)</f>
        <v>1606.2444444444448</v>
      </c>
      <c r="S72" s="116">
        <f>SUM(S47/S70)</f>
        <v>610.66666666666663</v>
      </c>
      <c r="T72" s="142"/>
      <c r="W72" s="33"/>
    </row>
    <row r="73" spans="1:28" ht="15.75" hidden="1" thickBot="1">
      <c r="A73" s="117" t="s">
        <v>63</v>
      </c>
      <c r="B73" s="118">
        <f>SUM(T47/B71)</f>
        <v>2993.7145633403275</v>
      </c>
      <c r="C73" s="119">
        <f t="shared" ref="C73:J73" si="46">SUM(C47/C71)</f>
        <v>3629.4871794871792</v>
      </c>
      <c r="D73" s="119">
        <f t="shared" si="46"/>
        <v>5285.1851851851852</v>
      </c>
      <c r="E73" s="119">
        <f t="shared" si="46"/>
        <v>3750.8771929824561</v>
      </c>
      <c r="F73" s="119">
        <f t="shared" si="46"/>
        <v>11716.666666666666</v>
      </c>
      <c r="G73" s="119">
        <f t="shared" si="46"/>
        <v>8530.5555555555547</v>
      </c>
      <c r="H73" s="119">
        <f t="shared" si="46"/>
        <v>1414.0350877192984</v>
      </c>
      <c r="I73" s="119">
        <f t="shared" si="46"/>
        <v>8522.2222222222226</v>
      </c>
      <c r="J73" s="119">
        <f t="shared" si="46"/>
        <v>25700</v>
      </c>
      <c r="K73" s="119">
        <v>0</v>
      </c>
      <c r="L73" s="119">
        <f>SUM(L47/L71)</f>
        <v>3143.8596491228068</v>
      </c>
      <c r="M73" s="119">
        <v>0</v>
      </c>
      <c r="N73" s="119">
        <f>SUM(N47/N71)</f>
        <v>954.38596491228054</v>
      </c>
      <c r="O73" s="119">
        <v>0</v>
      </c>
      <c r="P73" s="119">
        <v>0</v>
      </c>
      <c r="Q73" s="119">
        <f>SUM(Q47/Q71)</f>
        <v>8453.918128654972</v>
      </c>
      <c r="R73" s="119">
        <f>SUM(R47/R71)</f>
        <v>8453.918128654972</v>
      </c>
      <c r="S73" s="119">
        <f>SUM(S47/S71)</f>
        <v>3214.0350877192977</v>
      </c>
      <c r="T73" s="142"/>
      <c r="W73" s="33"/>
    </row>
    <row r="74" spans="1:28" hidden="1">
      <c r="A74" s="82" t="s">
        <v>64</v>
      </c>
      <c r="B74" s="83">
        <f>SUM(C74:S74)</f>
        <v>3716.5427264918681</v>
      </c>
      <c r="C74" s="84">
        <f t="shared" ref="C74:S74" si="47">SUM(C51/C4)/2*0.75</f>
        <v>317.90886612504414</v>
      </c>
      <c r="D74" s="84">
        <f t="shared" si="47"/>
        <v>175.19271198318148</v>
      </c>
      <c r="E74" s="84">
        <f t="shared" si="47"/>
        <v>364.82694106641719</v>
      </c>
      <c r="F74" s="84">
        <f t="shared" si="47"/>
        <v>113.79800853485064</v>
      </c>
      <c r="G74" s="84">
        <f t="shared" si="47"/>
        <v>136.76326929338978</v>
      </c>
      <c r="H74" s="84">
        <f t="shared" si="47"/>
        <v>744.41687344913157</v>
      </c>
      <c r="I74" s="84">
        <f t="shared" si="47"/>
        <v>44.002607561929594</v>
      </c>
      <c r="J74" s="84">
        <f t="shared" si="47"/>
        <v>29.182879377431902</v>
      </c>
      <c r="K74" s="84">
        <f t="shared" si="47"/>
        <v>22.704339051463169</v>
      </c>
      <c r="L74" s="84">
        <f t="shared" si="47"/>
        <v>125.55803571428571</v>
      </c>
      <c r="M74" s="84">
        <f t="shared" si="47"/>
        <v>18.17814582912543</v>
      </c>
      <c r="N74" s="84">
        <f t="shared" si="47"/>
        <v>1102.9411764705883</v>
      </c>
      <c r="O74" s="84">
        <f t="shared" si="47"/>
        <v>24.180548092423429</v>
      </c>
      <c r="P74" s="84">
        <f t="shared" si="47"/>
        <v>20.97902097902098</v>
      </c>
      <c r="Q74" s="84">
        <f t="shared" si="47"/>
        <v>37.354214800569991</v>
      </c>
      <c r="R74" s="84">
        <f t="shared" si="47"/>
        <v>37.354214800569991</v>
      </c>
      <c r="S74" s="84">
        <f t="shared" si="47"/>
        <v>401.20087336244541</v>
      </c>
      <c r="T74" s="142"/>
      <c r="W74" s="33"/>
    </row>
    <row r="75" spans="1:28" hidden="1">
      <c r="A75" s="85" t="s">
        <v>65</v>
      </c>
      <c r="B75" s="52">
        <f>SUM(C75:S75)</f>
        <v>726.44490821437307</v>
      </c>
      <c r="C75" s="23">
        <f t="shared" ref="C75:S75" si="48">SUM(C74*C21)</f>
        <v>82.656305192511482</v>
      </c>
      <c r="D75" s="23">
        <f t="shared" si="48"/>
        <v>47.302032235459002</v>
      </c>
      <c r="E75" s="23">
        <f t="shared" si="48"/>
        <v>69.317118802619262</v>
      </c>
      <c r="F75" s="23">
        <f t="shared" si="48"/>
        <v>13.655761024182077</v>
      </c>
      <c r="G75" s="23">
        <f t="shared" si="48"/>
        <v>16.411592315206775</v>
      </c>
      <c r="H75" s="23">
        <f t="shared" si="48"/>
        <v>141.43920595533501</v>
      </c>
      <c r="I75" s="23">
        <f t="shared" si="48"/>
        <v>15.840938722294654</v>
      </c>
      <c r="J75" s="23">
        <f t="shared" si="48"/>
        <v>2.9182879377431905</v>
      </c>
      <c r="K75" s="23">
        <f t="shared" si="48"/>
        <v>2.72452068617558</v>
      </c>
      <c r="L75" s="23">
        <f t="shared" si="48"/>
        <v>23.856026785714285</v>
      </c>
      <c r="M75" s="23">
        <f t="shared" si="48"/>
        <v>3.4538477075338316</v>
      </c>
      <c r="N75" s="23">
        <f t="shared" si="48"/>
        <v>209.55882352941177</v>
      </c>
      <c r="O75" s="23">
        <f t="shared" si="48"/>
        <v>2.9016657710908111</v>
      </c>
      <c r="P75" s="23">
        <f t="shared" si="48"/>
        <v>3.9860139860139863</v>
      </c>
      <c r="Q75" s="23">
        <f t="shared" si="48"/>
        <v>7.0973008121082986</v>
      </c>
      <c r="R75" s="23">
        <f t="shared" si="48"/>
        <v>7.0973008121082986</v>
      </c>
      <c r="S75" s="23">
        <f t="shared" si="48"/>
        <v>76.228165938864635</v>
      </c>
      <c r="T75" s="142"/>
      <c r="W75" s="33"/>
    </row>
    <row r="76" spans="1:28" hidden="1">
      <c r="A76" s="85" t="s">
        <v>66</v>
      </c>
      <c r="B76" s="115">
        <f>SUM(T51/B74)</f>
        <v>645.76144460618548</v>
      </c>
      <c r="C76" s="116">
        <f t="shared" ref="C76:S76" si="49">SUM(C51/C74)</f>
        <v>943.66666666666674</v>
      </c>
      <c r="D76" s="116">
        <f t="shared" si="49"/>
        <v>1427.0000000000002</v>
      </c>
      <c r="E76" s="116">
        <f t="shared" si="49"/>
        <v>712.66666666666674</v>
      </c>
      <c r="F76" s="116">
        <f t="shared" si="49"/>
        <v>1406</v>
      </c>
      <c r="G76" s="116">
        <f t="shared" si="49"/>
        <v>1023.6666666666666</v>
      </c>
      <c r="H76" s="116">
        <f t="shared" si="49"/>
        <v>268.66666666666663</v>
      </c>
      <c r="I76" s="116">
        <f t="shared" si="49"/>
        <v>3068</v>
      </c>
      <c r="J76" s="116">
        <f t="shared" si="49"/>
        <v>2570.0000000000005</v>
      </c>
      <c r="K76" s="116">
        <f t="shared" si="49"/>
        <v>2642.6666666666665</v>
      </c>
      <c r="L76" s="116">
        <f t="shared" si="49"/>
        <v>597.33333333333337</v>
      </c>
      <c r="M76" s="116">
        <f t="shared" si="49"/>
        <v>3300.6666666666665</v>
      </c>
      <c r="N76" s="116">
        <f t="shared" si="49"/>
        <v>181.33333333333331</v>
      </c>
      <c r="O76" s="116">
        <f t="shared" si="49"/>
        <v>2481.3333333333335</v>
      </c>
      <c r="P76" s="116">
        <f t="shared" si="49"/>
        <v>2860</v>
      </c>
      <c r="Q76" s="116">
        <f t="shared" si="49"/>
        <v>1606.2444444444448</v>
      </c>
      <c r="R76" s="116">
        <f t="shared" si="49"/>
        <v>1606.2444444444448</v>
      </c>
      <c r="S76" s="116">
        <f t="shared" si="49"/>
        <v>610.66666666666663</v>
      </c>
      <c r="T76" s="142"/>
      <c r="W76" s="33"/>
    </row>
    <row r="77" spans="1:28" ht="15.75" hidden="1" thickBot="1">
      <c r="A77" s="117" t="s">
        <v>67</v>
      </c>
      <c r="B77" s="118">
        <f>SUM(T51/B75)</f>
        <v>3303.7605093816182</v>
      </c>
      <c r="C77" s="119">
        <f t="shared" ref="C77:S77" si="50">SUM(C51/C75)</f>
        <v>3629.4871794871792</v>
      </c>
      <c r="D77" s="119">
        <f t="shared" si="50"/>
        <v>5285.1851851851852</v>
      </c>
      <c r="E77" s="119">
        <f t="shared" si="50"/>
        <v>3750.8771929824566</v>
      </c>
      <c r="F77" s="119">
        <f t="shared" si="50"/>
        <v>11716.666666666666</v>
      </c>
      <c r="G77" s="119">
        <f t="shared" si="50"/>
        <v>8530.5555555555547</v>
      </c>
      <c r="H77" s="119">
        <f t="shared" si="50"/>
        <v>1414.035087719298</v>
      </c>
      <c r="I77" s="119">
        <f t="shared" si="50"/>
        <v>8522.2222222222226</v>
      </c>
      <c r="J77" s="119">
        <f t="shared" si="50"/>
        <v>25700</v>
      </c>
      <c r="K77" s="119">
        <f t="shared" si="50"/>
        <v>22022.222222222223</v>
      </c>
      <c r="L77" s="119">
        <f t="shared" si="50"/>
        <v>3143.8596491228072</v>
      </c>
      <c r="M77" s="119">
        <f t="shared" si="50"/>
        <v>17371.929824561405</v>
      </c>
      <c r="N77" s="119">
        <f t="shared" si="50"/>
        <v>954.38596491228066</v>
      </c>
      <c r="O77" s="119">
        <f t="shared" si="50"/>
        <v>20677.777777777781</v>
      </c>
      <c r="P77" s="119">
        <f t="shared" si="50"/>
        <v>15052.631578947368</v>
      </c>
      <c r="Q77" s="119">
        <f t="shared" si="50"/>
        <v>8453.918128654972</v>
      </c>
      <c r="R77" s="119">
        <f t="shared" si="50"/>
        <v>8453.918128654972</v>
      </c>
      <c r="S77" s="119">
        <f t="shared" si="50"/>
        <v>3214.0350877192982</v>
      </c>
      <c r="T77" s="142"/>
      <c r="W77" s="33"/>
    </row>
    <row r="78" spans="1:28">
      <c r="A78" s="120" t="s">
        <v>68</v>
      </c>
      <c r="B78" s="152">
        <f>SUM(C78:S78)</f>
        <v>3991.5745382711398</v>
      </c>
      <c r="C78" s="121">
        <f t="shared" ref="C78:S78" si="51">SUM(C55/C4)/2*0.75</f>
        <v>291.41646061462382</v>
      </c>
      <c r="D78" s="121">
        <f t="shared" si="51"/>
        <v>182.20042046250876</v>
      </c>
      <c r="E78" s="121">
        <f t="shared" si="51"/>
        <v>378.85874649204862</v>
      </c>
      <c r="F78" s="121">
        <f t="shared" si="51"/>
        <v>108.10810810810811</v>
      </c>
      <c r="G78" s="121">
        <f t="shared" si="51"/>
        <v>141.64767176815369</v>
      </c>
      <c r="H78" s="121">
        <f t="shared" si="51"/>
        <v>837.46898263027288</v>
      </c>
      <c r="I78" s="121">
        <f t="shared" si="51"/>
        <v>39.113428943937421</v>
      </c>
      <c r="J78" s="121">
        <f t="shared" si="51"/>
        <v>31.128404669260703</v>
      </c>
      <c r="K78" s="121">
        <f t="shared" si="51"/>
        <v>26.488395560040363</v>
      </c>
      <c r="L78" s="121">
        <f t="shared" si="51"/>
        <v>133.92857142857144</v>
      </c>
      <c r="M78" s="121">
        <f t="shared" si="51"/>
        <v>24.23752777216724</v>
      </c>
      <c r="N78" s="121">
        <f t="shared" si="51"/>
        <v>1268.3823529411766</v>
      </c>
      <c r="O78" s="121">
        <f t="shared" si="51"/>
        <v>28.210639441160666</v>
      </c>
      <c r="P78" s="121">
        <f t="shared" si="51"/>
        <v>24.475524475524477</v>
      </c>
      <c r="Q78" s="121">
        <f t="shared" si="51"/>
        <v>37.354214800569991</v>
      </c>
      <c r="R78" s="121">
        <f t="shared" si="51"/>
        <v>37.354214800569991</v>
      </c>
      <c r="S78" s="121">
        <f t="shared" si="51"/>
        <v>401.20087336244541</v>
      </c>
      <c r="T78" s="142"/>
    </row>
    <row r="79" spans="1:28">
      <c r="A79" s="122" t="s">
        <v>69</v>
      </c>
      <c r="B79" s="153">
        <f>SUM(C79:S79)</f>
        <v>775.91023761035444</v>
      </c>
      <c r="C79" s="123">
        <f t="shared" ref="C79:S79" si="52">SUM(C78*C21)</f>
        <v>75.768279759802198</v>
      </c>
      <c r="D79" s="123">
        <f t="shared" si="52"/>
        <v>49.194113524877366</v>
      </c>
      <c r="E79" s="123">
        <f t="shared" si="52"/>
        <v>71.983161833489234</v>
      </c>
      <c r="F79" s="123">
        <f t="shared" si="52"/>
        <v>12.972972972972974</v>
      </c>
      <c r="G79" s="123">
        <f t="shared" si="52"/>
        <v>16.997720612178441</v>
      </c>
      <c r="H79" s="123">
        <f t="shared" si="52"/>
        <v>159.11910669975185</v>
      </c>
      <c r="I79" s="123">
        <f t="shared" si="52"/>
        <v>14.080834419817471</v>
      </c>
      <c r="J79" s="123">
        <f t="shared" si="52"/>
        <v>3.1128404669260705</v>
      </c>
      <c r="K79" s="123">
        <f t="shared" si="52"/>
        <v>3.1786074672048437</v>
      </c>
      <c r="L79" s="123">
        <f t="shared" si="52"/>
        <v>25.446428571428577</v>
      </c>
      <c r="M79" s="123">
        <f t="shared" si="52"/>
        <v>4.6051302767117761</v>
      </c>
      <c r="N79" s="123">
        <f t="shared" si="52"/>
        <v>240.99264705882356</v>
      </c>
      <c r="O79" s="123">
        <f t="shared" si="52"/>
        <v>3.3852767329392797</v>
      </c>
      <c r="P79" s="123">
        <f t="shared" si="52"/>
        <v>4.6503496503496509</v>
      </c>
      <c r="Q79" s="123">
        <f t="shared" si="52"/>
        <v>7.0973008121082986</v>
      </c>
      <c r="R79" s="123">
        <f t="shared" si="52"/>
        <v>7.0973008121082986</v>
      </c>
      <c r="S79" s="123">
        <f t="shared" si="52"/>
        <v>76.228165938864635</v>
      </c>
      <c r="T79" s="142"/>
    </row>
    <row r="80" spans="1:28">
      <c r="A80" s="122" t="s">
        <v>70</v>
      </c>
      <c r="B80" s="154">
        <f>SUM(T55/B78)</f>
        <v>624.3150356098206</v>
      </c>
      <c r="C80" s="124">
        <f>SUM(C55/C78)</f>
        <v>943.66666666666663</v>
      </c>
      <c r="D80" s="124">
        <f>SUM(D55/D78)</f>
        <v>1427</v>
      </c>
      <c r="E80" s="124">
        <f t="shared" ref="E80:S80" si="53">SUM(E55/E78)</f>
        <v>712.66666666666674</v>
      </c>
      <c r="F80" s="124">
        <f t="shared" si="53"/>
        <v>1406</v>
      </c>
      <c r="G80" s="124">
        <f t="shared" si="53"/>
        <v>1023.6666666666667</v>
      </c>
      <c r="H80" s="124">
        <f t="shared" si="53"/>
        <v>268.66666666666669</v>
      </c>
      <c r="I80" s="124">
        <f t="shared" si="53"/>
        <v>3067.9999999999995</v>
      </c>
      <c r="J80" s="124">
        <f t="shared" si="53"/>
        <v>2569.9999999999995</v>
      </c>
      <c r="K80" s="124">
        <f t="shared" si="53"/>
        <v>2642.6666666666665</v>
      </c>
      <c r="L80" s="124">
        <f t="shared" si="53"/>
        <v>597.33333333333326</v>
      </c>
      <c r="M80" s="124">
        <f t="shared" si="53"/>
        <v>3300.6666666666665</v>
      </c>
      <c r="N80" s="124">
        <f t="shared" si="53"/>
        <v>181.33333333333331</v>
      </c>
      <c r="O80" s="124">
        <f t="shared" si="53"/>
        <v>2481.3333333333335</v>
      </c>
      <c r="P80" s="124">
        <f t="shared" si="53"/>
        <v>2860</v>
      </c>
      <c r="Q80" s="124">
        <f t="shared" si="53"/>
        <v>1606.2444444444448</v>
      </c>
      <c r="R80" s="124">
        <f t="shared" si="53"/>
        <v>1606.2444444444448</v>
      </c>
      <c r="S80" s="124">
        <f t="shared" si="53"/>
        <v>610.66666666666663</v>
      </c>
      <c r="T80" s="142"/>
    </row>
    <row r="81" spans="1:28" ht="15.75" thickBot="1">
      <c r="A81" s="125" t="s">
        <v>71</v>
      </c>
      <c r="B81" s="155">
        <f>SUM(T55/B79)</f>
        <v>3211.7117151010311</v>
      </c>
      <c r="C81" s="126">
        <f t="shared" ref="C81:S81" si="54">SUM(C55/C79)</f>
        <v>3629.4871794871792</v>
      </c>
      <c r="D81" s="126">
        <f t="shared" si="54"/>
        <v>5285.1851851851852</v>
      </c>
      <c r="E81" s="126">
        <f t="shared" si="54"/>
        <v>3750.8771929824566</v>
      </c>
      <c r="F81" s="126">
        <f t="shared" si="54"/>
        <v>11716.666666666666</v>
      </c>
      <c r="G81" s="126">
        <f t="shared" si="54"/>
        <v>8530.5555555555566</v>
      </c>
      <c r="H81" s="126">
        <f t="shared" si="54"/>
        <v>1414.0350877192984</v>
      </c>
      <c r="I81" s="126">
        <f t="shared" si="54"/>
        <v>8522.2222222222226</v>
      </c>
      <c r="J81" s="126">
        <f t="shared" si="54"/>
        <v>25699.999999999996</v>
      </c>
      <c r="K81" s="126">
        <f t="shared" si="54"/>
        <v>22022.222222222223</v>
      </c>
      <c r="L81" s="126">
        <f t="shared" si="54"/>
        <v>3143.8596491228063</v>
      </c>
      <c r="M81" s="126">
        <f t="shared" si="54"/>
        <v>17371.929824561401</v>
      </c>
      <c r="N81" s="126">
        <f t="shared" si="54"/>
        <v>954.38596491228054</v>
      </c>
      <c r="O81" s="126">
        <f t="shared" si="54"/>
        <v>20677.777777777781</v>
      </c>
      <c r="P81" s="126">
        <f t="shared" si="54"/>
        <v>15052.631578947367</v>
      </c>
      <c r="Q81" s="126">
        <f t="shared" si="54"/>
        <v>8453.918128654972</v>
      </c>
      <c r="R81" s="126">
        <f t="shared" si="54"/>
        <v>8453.918128654972</v>
      </c>
      <c r="S81" s="126">
        <f t="shared" si="54"/>
        <v>3214.0350877192982</v>
      </c>
      <c r="T81" s="142"/>
    </row>
    <row r="82" spans="1:28">
      <c r="A82" s="1" t="s">
        <v>72</v>
      </c>
      <c r="B82" s="141">
        <f>((B79*30000)-T55)/T55</f>
        <v>8.3408134543782637</v>
      </c>
      <c r="T82" s="156"/>
    </row>
    <row r="83" spans="1:28" hidden="1">
      <c r="A83" s="127" t="s">
        <v>73</v>
      </c>
      <c r="B83" s="128">
        <f>SUM(C83:S83)</f>
        <v>150000</v>
      </c>
      <c r="C83" s="129">
        <f>C39/16</f>
        <v>17500</v>
      </c>
      <c r="D83" s="129">
        <f t="shared" ref="D83:S83" si="55">D39/16</f>
        <v>18750</v>
      </c>
      <c r="E83" s="129">
        <f t="shared" si="55"/>
        <v>6250</v>
      </c>
      <c r="F83" s="129">
        <f t="shared" si="55"/>
        <v>18750</v>
      </c>
      <c r="G83" s="129">
        <f t="shared" si="55"/>
        <v>18750</v>
      </c>
      <c r="H83" s="129">
        <f t="shared" si="55"/>
        <v>3750</v>
      </c>
      <c r="I83" s="129">
        <f t="shared" si="55"/>
        <v>6250</v>
      </c>
      <c r="J83" s="129">
        <f t="shared" si="55"/>
        <v>9375</v>
      </c>
      <c r="K83" s="129">
        <f t="shared" si="55"/>
        <v>6250</v>
      </c>
      <c r="L83" s="129">
        <f t="shared" si="55"/>
        <v>3750</v>
      </c>
      <c r="M83" s="129">
        <f t="shared" si="55"/>
        <v>3750</v>
      </c>
      <c r="N83" s="129">
        <f t="shared" si="55"/>
        <v>3750</v>
      </c>
      <c r="O83" s="129">
        <f t="shared" si="55"/>
        <v>6250</v>
      </c>
      <c r="P83" s="129">
        <f t="shared" si="55"/>
        <v>3750</v>
      </c>
      <c r="Q83" s="129">
        <f t="shared" si="55"/>
        <v>3750</v>
      </c>
      <c r="R83" s="129">
        <f t="shared" si="55"/>
        <v>3750</v>
      </c>
      <c r="S83" s="129">
        <f t="shared" si="55"/>
        <v>15625</v>
      </c>
      <c r="T83" s="142"/>
    </row>
    <row r="84" spans="1:28" hidden="1">
      <c r="A84" s="130" t="s">
        <v>74</v>
      </c>
      <c r="B84" s="115">
        <f>SUM(C84:S84)</f>
        <v>150000</v>
      </c>
      <c r="C84" s="116">
        <f>C43/16</f>
        <v>15375</v>
      </c>
      <c r="D84" s="116">
        <f t="shared" ref="D84:S84" si="56">D43/16</f>
        <v>11187.5</v>
      </c>
      <c r="E84" s="116">
        <f t="shared" si="56"/>
        <v>14812.5</v>
      </c>
      <c r="F84" s="116">
        <f t="shared" si="56"/>
        <v>4687.5</v>
      </c>
      <c r="G84" s="116">
        <f t="shared" si="56"/>
        <v>8250</v>
      </c>
      <c r="H84" s="116">
        <f t="shared" si="56"/>
        <v>38875</v>
      </c>
      <c r="I84" s="116">
        <f t="shared" si="56"/>
        <v>8250</v>
      </c>
      <c r="J84" s="116">
        <f t="shared" si="56"/>
        <v>0</v>
      </c>
      <c r="K84" s="116">
        <f t="shared" si="56"/>
        <v>0</v>
      </c>
      <c r="L84" s="116">
        <f t="shared" si="56"/>
        <v>17625</v>
      </c>
      <c r="M84" s="116">
        <f t="shared" si="56"/>
        <v>0</v>
      </c>
      <c r="N84" s="116">
        <f t="shared" si="56"/>
        <v>5937.5</v>
      </c>
      <c r="O84" s="116">
        <f t="shared" si="56"/>
        <v>0</v>
      </c>
      <c r="P84" s="116">
        <f t="shared" si="56"/>
        <v>0</v>
      </c>
      <c r="Q84" s="116">
        <f t="shared" si="56"/>
        <v>0</v>
      </c>
      <c r="R84" s="116">
        <f t="shared" si="56"/>
        <v>11562.5</v>
      </c>
      <c r="S84" s="116">
        <f t="shared" si="56"/>
        <v>13437.5</v>
      </c>
      <c r="T84" s="142"/>
      <c r="Z84" s="1"/>
      <c r="AA84" s="1"/>
      <c r="AB84" s="1"/>
    </row>
    <row r="85" spans="1:28" hidden="1">
      <c r="A85" s="131" t="s">
        <v>75</v>
      </c>
      <c r="B85" s="132">
        <f>SUM(C85:S85)</f>
        <v>150000</v>
      </c>
      <c r="C85" s="133">
        <f>C47/16</f>
        <v>21875</v>
      </c>
      <c r="D85" s="133">
        <f t="shared" ref="D85:S85" si="57">D47/16</f>
        <v>17500</v>
      </c>
      <c r="E85" s="133">
        <f t="shared" si="57"/>
        <v>18437.5</v>
      </c>
      <c r="F85" s="133">
        <f t="shared" si="57"/>
        <v>10000</v>
      </c>
      <c r="G85" s="133">
        <f t="shared" si="57"/>
        <v>10000</v>
      </c>
      <c r="H85" s="133">
        <f t="shared" si="57"/>
        <v>14062.5</v>
      </c>
      <c r="I85" s="133">
        <f t="shared" si="57"/>
        <v>10000</v>
      </c>
      <c r="J85" s="133">
        <f t="shared" si="57"/>
        <v>5312.5</v>
      </c>
      <c r="K85" s="133">
        <f t="shared" si="57"/>
        <v>0</v>
      </c>
      <c r="L85" s="133">
        <f t="shared" si="57"/>
        <v>5312.5</v>
      </c>
      <c r="M85" s="133">
        <f t="shared" si="57"/>
        <v>0</v>
      </c>
      <c r="N85" s="133">
        <f t="shared" si="57"/>
        <v>14375</v>
      </c>
      <c r="O85" s="133">
        <f t="shared" si="57"/>
        <v>0</v>
      </c>
      <c r="P85" s="133">
        <f t="shared" si="57"/>
        <v>0</v>
      </c>
      <c r="Q85" s="133">
        <f t="shared" si="57"/>
        <v>3750</v>
      </c>
      <c r="R85" s="133">
        <f t="shared" si="57"/>
        <v>3750</v>
      </c>
      <c r="S85" s="133">
        <f t="shared" si="57"/>
        <v>15625</v>
      </c>
      <c r="T85" s="142"/>
      <c r="Z85" s="1"/>
      <c r="AA85" s="1"/>
      <c r="AB85" s="1"/>
    </row>
    <row r="86" spans="1:28" hidden="1">
      <c r="A86" s="131" t="s">
        <v>76</v>
      </c>
      <c r="B86" s="132">
        <f>SUM(C86:S86)</f>
        <v>120000</v>
      </c>
      <c r="C86" s="133">
        <f>C51/20</f>
        <v>15000</v>
      </c>
      <c r="D86" s="133">
        <f t="shared" ref="D86:S86" si="58">D51/20</f>
        <v>12500</v>
      </c>
      <c r="E86" s="133">
        <f t="shared" si="58"/>
        <v>13000</v>
      </c>
      <c r="F86" s="133">
        <f t="shared" si="58"/>
        <v>8000</v>
      </c>
      <c r="G86" s="133">
        <f t="shared" si="58"/>
        <v>7000</v>
      </c>
      <c r="H86" s="133">
        <f t="shared" si="58"/>
        <v>10000</v>
      </c>
      <c r="I86" s="133">
        <f t="shared" si="58"/>
        <v>6750</v>
      </c>
      <c r="J86" s="133">
        <f t="shared" si="58"/>
        <v>3750</v>
      </c>
      <c r="K86" s="133">
        <f t="shared" si="58"/>
        <v>3000</v>
      </c>
      <c r="L86" s="133">
        <f t="shared" si="58"/>
        <v>3750</v>
      </c>
      <c r="M86" s="133">
        <f t="shared" si="58"/>
        <v>3000</v>
      </c>
      <c r="N86" s="133">
        <f t="shared" si="58"/>
        <v>10000</v>
      </c>
      <c r="O86" s="133">
        <f t="shared" si="58"/>
        <v>3000</v>
      </c>
      <c r="P86" s="133">
        <f t="shared" si="58"/>
        <v>3000</v>
      </c>
      <c r="Q86" s="133">
        <f t="shared" si="58"/>
        <v>3000</v>
      </c>
      <c r="R86" s="133">
        <f t="shared" si="58"/>
        <v>3000</v>
      </c>
      <c r="S86" s="133">
        <f t="shared" si="58"/>
        <v>12250</v>
      </c>
      <c r="T86" s="142"/>
      <c r="Z86" s="1"/>
      <c r="AA86" s="1"/>
      <c r="AB86" s="1"/>
    </row>
    <row r="87" spans="1:28">
      <c r="A87" s="131"/>
      <c r="B87" s="132"/>
      <c r="C87" s="133"/>
      <c r="D87" s="133"/>
      <c r="E87" s="133"/>
      <c r="F87" s="133"/>
      <c r="G87" s="133"/>
      <c r="H87" s="133"/>
      <c r="I87" s="133"/>
      <c r="J87" s="133"/>
      <c r="K87" s="133"/>
      <c r="L87" s="133"/>
      <c r="M87" s="133"/>
      <c r="N87" s="133"/>
      <c r="O87" s="133"/>
      <c r="P87" s="133"/>
      <c r="Q87" s="133"/>
      <c r="R87" s="133"/>
      <c r="S87" s="133"/>
      <c r="T87" s="142"/>
      <c r="Z87" s="1"/>
      <c r="AA87" s="1"/>
      <c r="AB87" s="1"/>
    </row>
    <row r="88" spans="1:28">
      <c r="A88" s="134" t="s">
        <v>77</v>
      </c>
      <c r="B88" s="135">
        <f>SUM(C88:S88)</f>
        <v>124600</v>
      </c>
      <c r="C88" s="136">
        <f>C55/20</f>
        <v>13750</v>
      </c>
      <c r="D88" s="136">
        <f t="shared" ref="D88:S88" si="59">D55/20</f>
        <v>13000</v>
      </c>
      <c r="E88" s="136">
        <f t="shared" si="59"/>
        <v>13500</v>
      </c>
      <c r="F88" s="136">
        <f t="shared" si="59"/>
        <v>7600</v>
      </c>
      <c r="G88" s="136">
        <f t="shared" si="59"/>
        <v>7250</v>
      </c>
      <c r="H88" s="136">
        <f t="shared" si="59"/>
        <v>11250</v>
      </c>
      <c r="I88" s="136">
        <f t="shared" si="59"/>
        <v>6000</v>
      </c>
      <c r="J88" s="136">
        <f t="shared" si="59"/>
        <v>4000</v>
      </c>
      <c r="K88" s="136">
        <f t="shared" si="59"/>
        <v>3500</v>
      </c>
      <c r="L88" s="136">
        <f t="shared" si="59"/>
        <v>4000</v>
      </c>
      <c r="M88" s="136">
        <f t="shared" si="59"/>
        <v>4000</v>
      </c>
      <c r="N88" s="136">
        <f t="shared" si="59"/>
        <v>11500</v>
      </c>
      <c r="O88" s="136">
        <f t="shared" si="59"/>
        <v>3500</v>
      </c>
      <c r="P88" s="136">
        <f t="shared" si="59"/>
        <v>3500</v>
      </c>
      <c r="Q88" s="136">
        <f t="shared" si="59"/>
        <v>3000</v>
      </c>
      <c r="R88" s="136">
        <f t="shared" si="59"/>
        <v>3000</v>
      </c>
      <c r="S88" s="136">
        <f t="shared" si="59"/>
        <v>12250</v>
      </c>
      <c r="T88" s="142"/>
      <c r="Z88" s="1"/>
      <c r="AA88" s="1"/>
      <c r="AB88" s="1"/>
    </row>
    <row r="89" spans="1:28" ht="16.5">
      <c r="A89" s="87"/>
      <c r="B89" s="88"/>
      <c r="C89" s="14"/>
      <c r="D89" s="14"/>
      <c r="E89" s="14"/>
      <c r="F89" s="14"/>
      <c r="G89" s="14"/>
      <c r="H89" s="14"/>
      <c r="I89" s="14"/>
      <c r="J89" s="14"/>
      <c r="K89" s="14"/>
      <c r="L89" s="14"/>
      <c r="M89" s="14"/>
      <c r="N89" s="14"/>
      <c r="O89" s="14"/>
      <c r="P89" s="14"/>
      <c r="Q89" s="14"/>
      <c r="R89" s="14"/>
      <c r="S89" s="14"/>
      <c r="T89" s="142"/>
    </row>
    <row r="90" spans="1:28" ht="16.5">
      <c r="A90" s="53"/>
      <c r="B90" s="53"/>
      <c r="C90" s="51" t="s">
        <v>2</v>
      </c>
      <c r="D90" s="51" t="s">
        <v>3</v>
      </c>
      <c r="E90" s="51" t="s">
        <v>4</v>
      </c>
      <c r="F90" s="51" t="s">
        <v>5</v>
      </c>
      <c r="G90" s="51" t="s">
        <v>6</v>
      </c>
      <c r="H90" s="51" t="s">
        <v>7</v>
      </c>
      <c r="I90" s="51" t="s">
        <v>8</v>
      </c>
      <c r="J90" s="51" t="s">
        <v>9</v>
      </c>
      <c r="K90" s="51" t="s">
        <v>10</v>
      </c>
      <c r="L90" s="51" t="s">
        <v>11</v>
      </c>
      <c r="M90" s="51" t="s">
        <v>12</v>
      </c>
      <c r="N90" s="51" t="s">
        <v>13</v>
      </c>
      <c r="O90" s="51" t="s">
        <v>14</v>
      </c>
      <c r="P90" s="51" t="s">
        <v>15</v>
      </c>
      <c r="Q90" s="51" t="s">
        <v>16</v>
      </c>
      <c r="R90" s="51" t="s">
        <v>17</v>
      </c>
      <c r="S90" s="51" t="s">
        <v>18</v>
      </c>
      <c r="T90" s="22" t="s">
        <v>1</v>
      </c>
      <c r="AA90" s="1"/>
      <c r="AB90" s="1"/>
    </row>
    <row r="91" spans="1:28" hidden="1">
      <c r="A91" s="25" t="s">
        <v>78</v>
      </c>
      <c r="B91" s="25" t="s">
        <v>78</v>
      </c>
      <c r="C91" s="27">
        <v>273000</v>
      </c>
      <c r="D91" s="27">
        <v>315000</v>
      </c>
      <c r="E91" s="27">
        <v>189000</v>
      </c>
      <c r="F91" s="27">
        <v>210000</v>
      </c>
      <c r="G91" s="27">
        <v>168000</v>
      </c>
      <c r="H91" s="27">
        <v>0</v>
      </c>
      <c r="I91" s="27">
        <v>231000</v>
      </c>
      <c r="J91" s="27">
        <v>147000</v>
      </c>
      <c r="K91" s="27">
        <v>63000</v>
      </c>
      <c r="L91" s="27">
        <v>42000</v>
      </c>
      <c r="M91" s="27">
        <v>105000</v>
      </c>
      <c r="N91" s="27">
        <v>84000</v>
      </c>
      <c r="O91" s="27">
        <v>210000</v>
      </c>
      <c r="P91" s="27">
        <v>63000</v>
      </c>
      <c r="Q91" s="27">
        <v>0</v>
      </c>
      <c r="R91" s="27">
        <v>0</v>
      </c>
      <c r="S91" s="27">
        <v>0</v>
      </c>
      <c r="T91" s="26">
        <f>SUM(C91:S91)</f>
        <v>2100000</v>
      </c>
      <c r="AA91" s="1"/>
      <c r="AB91" s="1"/>
    </row>
    <row r="92" spans="1:28">
      <c r="A92" s="157" t="s">
        <v>79</v>
      </c>
      <c r="B92" s="157"/>
      <c r="C92" s="158">
        <v>250000</v>
      </c>
      <c r="D92" s="158">
        <v>300000</v>
      </c>
      <c r="E92" s="158">
        <v>170000</v>
      </c>
      <c r="F92" s="158">
        <v>200000</v>
      </c>
      <c r="G92" s="158">
        <v>150000</v>
      </c>
      <c r="H92" s="158">
        <v>0</v>
      </c>
      <c r="I92" s="158">
        <v>200000</v>
      </c>
      <c r="J92" s="158">
        <v>140000</v>
      </c>
      <c r="K92" s="158">
        <v>65000</v>
      </c>
      <c r="L92" s="158">
        <v>45000</v>
      </c>
      <c r="M92" s="158">
        <v>105000</v>
      </c>
      <c r="N92" s="158">
        <v>85000</v>
      </c>
      <c r="O92" s="158">
        <v>210000</v>
      </c>
      <c r="P92" s="158">
        <v>60000</v>
      </c>
      <c r="Q92" s="158">
        <v>65000</v>
      </c>
      <c r="R92" s="158">
        <v>55000</v>
      </c>
      <c r="S92" s="158">
        <v>0</v>
      </c>
      <c r="T92" s="159">
        <f>SUM(C92:S92)</f>
        <v>2100000</v>
      </c>
      <c r="AA92" s="1"/>
      <c r="AB92" s="1"/>
    </row>
    <row r="93" spans="1:28" ht="16.5">
      <c r="A93"/>
      <c r="B93" s="21"/>
      <c r="T93" s="142"/>
      <c r="AA93" s="1"/>
      <c r="AB93" s="1"/>
    </row>
    <row r="94" spans="1:28" ht="16.5" customHeight="1">
      <c r="A94" s="268" t="s">
        <v>80</v>
      </c>
      <c r="B94" s="268"/>
      <c r="C94" s="268"/>
      <c r="D94" s="268"/>
      <c r="E94" s="268"/>
      <c r="F94" s="268"/>
      <c r="G94" s="268"/>
      <c r="H94" s="268"/>
      <c r="I94" s="268"/>
      <c r="J94" s="268"/>
      <c r="K94" s="268"/>
      <c r="T94" s="142"/>
    </row>
    <row r="95" spans="1:28">
      <c r="A95" s="267" t="s">
        <v>81</v>
      </c>
      <c r="B95" s="267"/>
      <c r="C95" s="267"/>
      <c r="D95" s="267"/>
      <c r="E95" s="267"/>
      <c r="F95" s="267"/>
      <c r="G95" s="267"/>
      <c r="H95" s="267"/>
      <c r="I95" s="267"/>
      <c r="J95" s="267"/>
      <c r="K95" s="267"/>
      <c r="T95" s="142"/>
    </row>
    <row r="96" spans="1:28">
      <c r="A96" s="267" t="s">
        <v>82</v>
      </c>
      <c r="B96" s="267"/>
      <c r="C96" s="267"/>
      <c r="D96" s="267"/>
      <c r="E96" s="267"/>
      <c r="F96" s="267"/>
      <c r="G96" s="267"/>
      <c r="H96" s="267"/>
      <c r="I96" s="267"/>
      <c r="J96" s="267"/>
      <c r="K96" s="267"/>
      <c r="T96" s="142"/>
    </row>
    <row r="97" spans="1:20" ht="15" customHeight="1">
      <c r="A97" s="267" t="s">
        <v>83</v>
      </c>
      <c r="B97" s="267"/>
      <c r="C97" s="267"/>
      <c r="D97" s="267"/>
      <c r="E97" s="267"/>
      <c r="F97" s="267"/>
      <c r="G97" s="267"/>
      <c r="H97" s="267"/>
      <c r="I97" s="267"/>
      <c r="J97" s="267"/>
      <c r="K97" s="267"/>
      <c r="T97" s="142"/>
    </row>
    <row r="98" spans="1:20" ht="16.5">
      <c r="F98"/>
      <c r="T98" s="142"/>
    </row>
    <row r="99" spans="1:20">
      <c r="A99" s="95" t="s">
        <v>84</v>
      </c>
      <c r="T99" s="142"/>
    </row>
    <row r="100" spans="1:20">
      <c r="A100" s="1" t="s">
        <v>85</v>
      </c>
      <c r="B100" s="96">
        <v>800000</v>
      </c>
      <c r="T100" s="142"/>
    </row>
    <row r="101" spans="1:20">
      <c r="A101" s="1" t="s">
        <v>86</v>
      </c>
      <c r="B101" s="96">
        <v>500000</v>
      </c>
      <c r="T101" s="142"/>
    </row>
    <row r="102" spans="1:20">
      <c r="A102" s="1" t="s">
        <v>87</v>
      </c>
      <c r="B102" s="96">
        <v>300000</v>
      </c>
      <c r="T102" s="142"/>
    </row>
    <row r="103" spans="1:20">
      <c r="A103" s="1" t="s">
        <v>88</v>
      </c>
      <c r="B103" s="96">
        <v>1000000</v>
      </c>
      <c r="T103" s="142"/>
    </row>
    <row r="104" spans="1:20">
      <c r="A104" s="160" t="s">
        <v>89</v>
      </c>
      <c r="B104" s="98">
        <f>SUM(B100:B103)</f>
        <v>2600000</v>
      </c>
      <c r="D104" s="96"/>
      <c r="T104" s="142"/>
    </row>
    <row r="105" spans="1:20">
      <c r="A105" s="97"/>
      <c r="B105" s="98"/>
      <c r="D105" s="96"/>
      <c r="T105" s="142"/>
    </row>
    <row r="106" spans="1:20">
      <c r="A106" s="97" t="s">
        <v>90</v>
      </c>
      <c r="B106" s="99">
        <v>107977</v>
      </c>
      <c r="T106" s="142"/>
    </row>
    <row r="107" spans="1:20">
      <c r="A107" s="97" t="s">
        <v>91</v>
      </c>
      <c r="B107" s="137">
        <f>B104-B106</f>
        <v>2492023</v>
      </c>
      <c r="T107" s="142"/>
    </row>
    <row r="108" spans="1:20">
      <c r="A108" s="97" t="s">
        <v>92</v>
      </c>
      <c r="B108" s="99">
        <v>365000</v>
      </c>
      <c r="T108" s="142"/>
    </row>
    <row r="109" spans="1:20">
      <c r="A109" s="97" t="s">
        <v>93</v>
      </c>
      <c r="B109" s="98">
        <f>B104-B106-B108</f>
        <v>2127023</v>
      </c>
      <c r="T109" s="142"/>
    </row>
  </sheetData>
  <mergeCells count="20">
    <mergeCell ref="A14:A16"/>
    <mergeCell ref="A2:A7"/>
    <mergeCell ref="A8:A10"/>
    <mergeCell ref="A11:A13"/>
    <mergeCell ref="A48:A51"/>
    <mergeCell ref="A17:B17"/>
    <mergeCell ref="A18:B18"/>
    <mergeCell ref="A96:K96"/>
    <mergeCell ref="A97:K97"/>
    <mergeCell ref="A94:K94"/>
    <mergeCell ref="A95:K95"/>
    <mergeCell ref="A20:B20"/>
    <mergeCell ref="A21:B21"/>
    <mergeCell ref="A44:A47"/>
    <mergeCell ref="A36:A39"/>
    <mergeCell ref="A40:A43"/>
    <mergeCell ref="A22:A24"/>
    <mergeCell ref="A25:A27"/>
    <mergeCell ref="A28:A31"/>
    <mergeCell ref="A52:A55"/>
  </mergeCells>
  <conditionalFormatting sqref="C2:S7">
    <cfRule type="colorScale" priority="5">
      <colorScale>
        <cfvo type="min"/>
        <cfvo type="percentile" val="50"/>
        <cfvo type="max"/>
        <color rgb="FF63BE7B"/>
        <color rgb="FFFFEB84"/>
        <color rgb="FFF8696B"/>
      </colorScale>
    </cfRule>
  </conditionalFormatting>
  <conditionalFormatting sqref="C21:S21">
    <cfRule type="colorScale" priority="2">
      <colorScale>
        <cfvo type="min"/>
        <cfvo type="percentile" val="50"/>
        <cfvo type="max"/>
        <color rgb="FFF8696B"/>
        <color rgb="FFFFEB84"/>
        <color rgb="FF63BE7B"/>
      </colorScale>
    </cfRule>
  </conditionalFormatting>
  <conditionalFormatting sqref="C28:S31">
    <cfRule type="colorScale" priority="3">
      <colorScale>
        <cfvo type="min"/>
        <cfvo type="percentile" val="50"/>
        <cfvo type="max"/>
        <color rgb="FF63BE7B"/>
        <color rgb="FFFFEB84"/>
        <color rgb="FFF8696B"/>
      </colorScale>
    </cfRule>
  </conditionalFormatting>
  <pageMargins left="0.7" right="0.7" top="0.78740157499999996" bottom="0.78740157499999996" header="0.3" footer="0.3"/>
  <pageSetup paperSize="9" orientation="portrait" r:id="rId1"/>
  <ignoredErrors>
    <ignoredError sqref="J29 P29" formula="1"/>
    <ignoredError sqref="D47:K47 M47:T47 C55:O55 U48:U54"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03021-60D8-4153-91EE-83C472C05DF9}">
  <dimension ref="A1:AD14"/>
  <sheetViews>
    <sheetView workbookViewId="0">
      <selection activeCell="Z4" sqref="Z4"/>
    </sheetView>
  </sheetViews>
  <sheetFormatPr defaultColWidth="17.85546875" defaultRowHeight="12"/>
  <cols>
    <col min="1" max="2" width="17.85546875" style="161"/>
    <col min="3" max="30" width="7.42578125" style="161" customWidth="1"/>
    <col min="31" max="16384" width="17.85546875" style="161"/>
  </cols>
  <sheetData>
    <row r="1" spans="1:30">
      <c r="A1" s="161" t="s">
        <v>94</v>
      </c>
      <c r="C1" s="163" t="s">
        <v>2</v>
      </c>
      <c r="D1" s="163" t="s">
        <v>2</v>
      </c>
      <c r="E1" s="163" t="s">
        <v>3</v>
      </c>
      <c r="F1" s="163" t="s">
        <v>3</v>
      </c>
      <c r="G1" s="163" t="s">
        <v>4</v>
      </c>
      <c r="H1" s="163" t="s">
        <v>4</v>
      </c>
      <c r="I1" s="163" t="s">
        <v>5</v>
      </c>
      <c r="J1" s="163" t="s">
        <v>5</v>
      </c>
      <c r="K1" s="163" t="s">
        <v>6</v>
      </c>
      <c r="L1" s="163" t="s">
        <v>6</v>
      </c>
      <c r="M1" s="163" t="s">
        <v>7</v>
      </c>
      <c r="N1" s="163" t="s">
        <v>7</v>
      </c>
      <c r="O1" s="163" t="s">
        <v>8</v>
      </c>
      <c r="P1" s="163" t="s">
        <v>8</v>
      </c>
      <c r="Q1" s="163" t="s">
        <v>9</v>
      </c>
      <c r="R1" s="163" t="s">
        <v>9</v>
      </c>
      <c r="S1" s="163" t="s">
        <v>10</v>
      </c>
      <c r="T1" s="163" t="s">
        <v>10</v>
      </c>
      <c r="U1" s="163" t="s">
        <v>11</v>
      </c>
      <c r="V1" s="163" t="s">
        <v>11</v>
      </c>
      <c r="W1" s="163" t="s">
        <v>12</v>
      </c>
      <c r="X1" s="163" t="s">
        <v>12</v>
      </c>
      <c r="Y1" s="163" t="s">
        <v>13</v>
      </c>
      <c r="Z1" s="163" t="s">
        <v>13</v>
      </c>
      <c r="AA1" s="163" t="s">
        <v>14</v>
      </c>
      <c r="AB1" s="163" t="s">
        <v>14</v>
      </c>
      <c r="AC1" s="163" t="s">
        <v>15</v>
      </c>
      <c r="AD1" s="163" t="s">
        <v>15</v>
      </c>
    </row>
    <row r="2" spans="1:30">
      <c r="B2" s="162"/>
      <c r="C2" s="163" t="s">
        <v>95</v>
      </c>
      <c r="D2" s="163" t="s">
        <v>96</v>
      </c>
      <c r="E2" s="163" t="s">
        <v>95</v>
      </c>
      <c r="F2" s="163" t="s">
        <v>96</v>
      </c>
      <c r="G2" s="163" t="s">
        <v>95</v>
      </c>
      <c r="H2" s="163" t="s">
        <v>96</v>
      </c>
      <c r="I2" s="163" t="s">
        <v>95</v>
      </c>
      <c r="J2" s="163" t="s">
        <v>96</v>
      </c>
      <c r="K2" s="163" t="s">
        <v>95</v>
      </c>
      <c r="L2" s="163" t="s">
        <v>96</v>
      </c>
      <c r="M2" s="163" t="s">
        <v>95</v>
      </c>
      <c r="N2" s="163" t="s">
        <v>96</v>
      </c>
      <c r="O2" s="163" t="s">
        <v>95</v>
      </c>
      <c r="P2" s="163" t="s">
        <v>96</v>
      </c>
      <c r="Q2" s="163" t="s">
        <v>95</v>
      </c>
      <c r="R2" s="163" t="s">
        <v>96</v>
      </c>
      <c r="S2" s="163" t="s">
        <v>95</v>
      </c>
      <c r="T2" s="163" t="s">
        <v>96</v>
      </c>
      <c r="U2" s="163" t="s">
        <v>95</v>
      </c>
      <c r="V2" s="163" t="s">
        <v>96</v>
      </c>
      <c r="W2" s="163" t="s">
        <v>95</v>
      </c>
      <c r="X2" s="163" t="s">
        <v>96</v>
      </c>
      <c r="Y2" s="163" t="s">
        <v>95</v>
      </c>
      <c r="Z2" s="163" t="s">
        <v>96</v>
      </c>
      <c r="AA2" s="163" t="s">
        <v>95</v>
      </c>
      <c r="AB2" s="163" t="s">
        <v>96</v>
      </c>
      <c r="AC2" s="163" t="s">
        <v>95</v>
      </c>
      <c r="AD2" s="163" t="s">
        <v>96</v>
      </c>
    </row>
    <row r="3" spans="1:30">
      <c r="A3" s="164" t="s">
        <v>20</v>
      </c>
      <c r="B3" s="164" t="s">
        <v>97</v>
      </c>
      <c r="C3" s="165">
        <v>46143</v>
      </c>
      <c r="D3" s="165">
        <v>46264</v>
      </c>
      <c r="E3" s="165">
        <v>46143</v>
      </c>
      <c r="F3" s="165">
        <v>46264</v>
      </c>
      <c r="G3" s="165">
        <v>46143</v>
      </c>
      <c r="H3" s="165">
        <v>46264</v>
      </c>
      <c r="I3" s="165">
        <v>46143</v>
      </c>
      <c r="J3" s="165">
        <v>46264</v>
      </c>
      <c r="K3" s="165">
        <v>46143</v>
      </c>
      <c r="L3" s="165">
        <v>46264</v>
      </c>
      <c r="M3" s="165">
        <v>46143</v>
      </c>
      <c r="N3" s="165">
        <v>46264</v>
      </c>
      <c r="O3" s="165">
        <v>46143</v>
      </c>
      <c r="P3" s="165">
        <v>46264</v>
      </c>
      <c r="Q3" s="165">
        <v>46143</v>
      </c>
      <c r="R3" s="165">
        <v>46264</v>
      </c>
      <c r="S3" s="165">
        <v>46143</v>
      </c>
      <c r="T3" s="165">
        <v>46264</v>
      </c>
      <c r="U3" s="165">
        <v>46143</v>
      </c>
      <c r="V3" s="165">
        <v>46264</v>
      </c>
      <c r="W3" s="165">
        <v>46143</v>
      </c>
      <c r="X3" s="165">
        <v>46264</v>
      </c>
      <c r="Y3" s="165">
        <v>46143</v>
      </c>
      <c r="Z3" s="165">
        <v>46264</v>
      </c>
      <c r="AA3" s="165">
        <v>46143</v>
      </c>
      <c r="AB3" s="165">
        <v>46264</v>
      </c>
      <c r="AC3" s="165">
        <v>46143</v>
      </c>
      <c r="AD3" s="165">
        <v>46264</v>
      </c>
    </row>
    <row r="4" spans="1:30">
      <c r="A4" s="164" t="s">
        <v>20</v>
      </c>
      <c r="B4" s="164" t="s">
        <v>98</v>
      </c>
      <c r="C4" s="165">
        <v>46143</v>
      </c>
      <c r="D4" s="165">
        <v>46264</v>
      </c>
      <c r="E4" s="165"/>
      <c r="F4" s="165"/>
      <c r="G4" s="165">
        <v>46143</v>
      </c>
      <c r="H4" s="165">
        <v>46264</v>
      </c>
      <c r="I4" s="165">
        <v>46143</v>
      </c>
      <c r="J4" s="165">
        <v>46264</v>
      </c>
      <c r="K4" s="165">
        <v>46174</v>
      </c>
      <c r="L4" s="165">
        <v>46264</v>
      </c>
      <c r="M4" s="165"/>
      <c r="N4" s="165"/>
      <c r="O4" s="165">
        <v>46143</v>
      </c>
      <c r="P4" s="165">
        <v>46264</v>
      </c>
      <c r="Q4" s="165">
        <v>46143</v>
      </c>
      <c r="R4" s="165">
        <v>46264</v>
      </c>
      <c r="S4" s="165"/>
      <c r="T4" s="165"/>
      <c r="U4" s="165"/>
      <c r="V4" s="165"/>
      <c r="W4" s="165"/>
      <c r="X4" s="165"/>
      <c r="Y4" s="165"/>
      <c r="Z4" s="165"/>
      <c r="AA4" s="165"/>
      <c r="AB4" s="165"/>
      <c r="AC4" s="165"/>
      <c r="AD4" s="165"/>
    </row>
    <row r="5" spans="1:30">
      <c r="A5" s="164" t="s">
        <v>20</v>
      </c>
      <c r="B5" s="164" t="s">
        <v>99</v>
      </c>
      <c r="C5" s="165">
        <v>46143</v>
      </c>
      <c r="D5" s="165">
        <v>46264</v>
      </c>
      <c r="E5" s="165">
        <v>46143</v>
      </c>
      <c r="F5" s="165">
        <v>46264</v>
      </c>
      <c r="G5" s="165">
        <v>46143</v>
      </c>
      <c r="H5" s="165">
        <v>46264</v>
      </c>
      <c r="I5" s="165">
        <v>46143</v>
      </c>
      <c r="J5" s="165">
        <v>46264</v>
      </c>
      <c r="K5" s="165">
        <v>46143</v>
      </c>
      <c r="L5" s="165">
        <v>46264</v>
      </c>
      <c r="M5" s="165">
        <v>46143</v>
      </c>
      <c r="N5" s="165">
        <v>46264</v>
      </c>
      <c r="O5" s="165">
        <v>46143</v>
      </c>
      <c r="P5" s="165">
        <v>46264</v>
      </c>
      <c r="Q5" s="165">
        <v>46143</v>
      </c>
      <c r="R5" s="165">
        <v>46264</v>
      </c>
      <c r="S5" s="165">
        <v>46143</v>
      </c>
      <c r="T5" s="165">
        <v>46264</v>
      </c>
      <c r="U5" s="165">
        <v>46143</v>
      </c>
      <c r="V5" s="165">
        <v>46264</v>
      </c>
      <c r="W5" s="165">
        <v>46143</v>
      </c>
      <c r="X5" s="165">
        <v>46264</v>
      </c>
      <c r="Y5" s="165">
        <v>46143</v>
      </c>
      <c r="Z5" s="165">
        <v>46264</v>
      </c>
      <c r="AA5" s="165">
        <v>46143</v>
      </c>
      <c r="AB5" s="165">
        <v>46264</v>
      </c>
      <c r="AC5" s="165">
        <v>46143</v>
      </c>
      <c r="AD5" s="165">
        <v>46264</v>
      </c>
    </row>
    <row r="6" spans="1:30">
      <c r="A6" s="164" t="s">
        <v>20</v>
      </c>
      <c r="B6" s="164" t="s">
        <v>100</v>
      </c>
      <c r="C6" s="165">
        <v>46204</v>
      </c>
      <c r="D6" s="165">
        <v>46264</v>
      </c>
      <c r="E6" s="165">
        <v>46204</v>
      </c>
      <c r="F6" s="165">
        <v>46264</v>
      </c>
      <c r="G6" s="165">
        <v>46204</v>
      </c>
      <c r="H6" s="165">
        <v>46264</v>
      </c>
      <c r="I6" s="165">
        <v>46204</v>
      </c>
      <c r="J6" s="165">
        <v>46264</v>
      </c>
      <c r="K6" s="165">
        <v>46204</v>
      </c>
      <c r="L6" s="165">
        <v>46264</v>
      </c>
      <c r="M6" s="165">
        <v>46204</v>
      </c>
      <c r="N6" s="165">
        <v>46264</v>
      </c>
      <c r="O6" s="165">
        <v>46204</v>
      </c>
      <c r="P6" s="165">
        <v>46264</v>
      </c>
      <c r="Q6" s="165">
        <v>46204</v>
      </c>
      <c r="R6" s="165">
        <v>46264</v>
      </c>
      <c r="S6" s="165">
        <v>46204</v>
      </c>
      <c r="T6" s="165">
        <v>46264</v>
      </c>
      <c r="U6" s="165">
        <v>46204</v>
      </c>
      <c r="V6" s="165">
        <v>46264</v>
      </c>
      <c r="W6" s="165">
        <v>46204</v>
      </c>
      <c r="X6" s="165">
        <v>46264</v>
      </c>
      <c r="Y6" s="165">
        <v>46204</v>
      </c>
      <c r="Z6" s="165">
        <v>46264</v>
      </c>
      <c r="AA6" s="165">
        <v>46204</v>
      </c>
      <c r="AB6" s="165">
        <v>46264</v>
      </c>
      <c r="AC6" s="165">
        <v>46204</v>
      </c>
      <c r="AD6" s="165">
        <v>46264</v>
      </c>
    </row>
    <row r="7" spans="1:30">
      <c r="A7" s="164" t="s">
        <v>22</v>
      </c>
      <c r="B7" s="164" t="s">
        <v>97</v>
      </c>
      <c r="C7" s="165">
        <v>46143</v>
      </c>
      <c r="D7" s="165">
        <v>46264</v>
      </c>
      <c r="E7" s="165">
        <v>46143</v>
      </c>
      <c r="F7" s="165">
        <v>46264</v>
      </c>
      <c r="G7" s="165">
        <v>46143</v>
      </c>
      <c r="H7" s="165">
        <v>46264</v>
      </c>
      <c r="I7" s="165">
        <v>46143</v>
      </c>
      <c r="J7" s="165">
        <v>46264</v>
      </c>
      <c r="K7" s="165">
        <v>46143</v>
      </c>
      <c r="L7" s="165">
        <v>46264</v>
      </c>
      <c r="M7" s="165">
        <v>46174</v>
      </c>
      <c r="N7" s="165">
        <v>46264</v>
      </c>
      <c r="O7" s="165">
        <v>46143</v>
      </c>
      <c r="P7" s="165">
        <v>46264</v>
      </c>
      <c r="Q7" s="165"/>
      <c r="R7" s="165"/>
      <c r="S7" s="165"/>
      <c r="T7" s="165"/>
      <c r="U7" s="165"/>
      <c r="V7" s="165"/>
      <c r="W7" s="165"/>
      <c r="X7" s="165"/>
      <c r="Y7" s="165">
        <v>46143</v>
      </c>
      <c r="Z7" s="165">
        <v>46264</v>
      </c>
      <c r="AA7" s="165">
        <v>46174</v>
      </c>
      <c r="AB7" s="165">
        <v>46264</v>
      </c>
      <c r="AC7" s="165">
        <v>46174</v>
      </c>
      <c r="AD7" s="165">
        <v>46264</v>
      </c>
    </row>
    <row r="8" spans="1:30">
      <c r="A8" s="164" t="s">
        <v>22</v>
      </c>
      <c r="B8" s="164" t="s">
        <v>98</v>
      </c>
      <c r="C8" s="165">
        <v>46143</v>
      </c>
      <c r="D8" s="165">
        <v>46264</v>
      </c>
      <c r="E8" s="165"/>
      <c r="F8" s="165"/>
      <c r="G8" s="165">
        <v>46143</v>
      </c>
      <c r="H8" s="165">
        <v>46264</v>
      </c>
      <c r="I8" s="165">
        <v>46143</v>
      </c>
      <c r="J8" s="165">
        <v>46264</v>
      </c>
      <c r="K8" s="165">
        <v>46174</v>
      </c>
      <c r="L8" s="165">
        <v>46264</v>
      </c>
      <c r="M8" s="165"/>
      <c r="N8" s="165"/>
      <c r="O8" s="165">
        <v>46143</v>
      </c>
      <c r="P8" s="165">
        <v>46264</v>
      </c>
      <c r="Q8" s="165"/>
      <c r="R8" s="165"/>
      <c r="S8" s="165"/>
      <c r="T8" s="165"/>
      <c r="U8" s="165"/>
      <c r="V8" s="165"/>
      <c r="W8" s="165"/>
      <c r="X8" s="165"/>
      <c r="Y8" s="165">
        <v>46143</v>
      </c>
      <c r="Z8" s="165">
        <v>46264</v>
      </c>
      <c r="AA8" s="165"/>
      <c r="AB8" s="165"/>
      <c r="AC8" s="165"/>
      <c r="AD8" s="165"/>
    </row>
    <row r="9" spans="1:30">
      <c r="A9" s="164" t="s">
        <v>22</v>
      </c>
      <c r="B9" s="164" t="s">
        <v>99</v>
      </c>
      <c r="C9" s="165">
        <v>46143</v>
      </c>
      <c r="D9" s="165">
        <v>46264</v>
      </c>
      <c r="E9" s="165">
        <v>46143</v>
      </c>
      <c r="F9" s="165">
        <v>46264</v>
      </c>
      <c r="G9" s="165">
        <v>46143</v>
      </c>
      <c r="H9" s="165">
        <v>46264</v>
      </c>
      <c r="I9" s="165">
        <v>46143</v>
      </c>
      <c r="J9" s="165">
        <v>46264</v>
      </c>
      <c r="K9" s="165">
        <v>46143</v>
      </c>
      <c r="L9" s="165">
        <v>46264</v>
      </c>
      <c r="M9" s="165">
        <v>46143</v>
      </c>
      <c r="N9" s="165">
        <v>46264</v>
      </c>
      <c r="O9" s="165">
        <v>46143</v>
      </c>
      <c r="P9" s="165">
        <v>46264</v>
      </c>
      <c r="Q9" s="165"/>
      <c r="R9" s="165"/>
      <c r="S9" s="165"/>
      <c r="T9" s="165"/>
      <c r="U9" s="165"/>
      <c r="V9" s="165"/>
      <c r="W9" s="165"/>
      <c r="X9" s="165"/>
      <c r="Y9" s="165">
        <v>46143</v>
      </c>
      <c r="Z9" s="165">
        <v>46264</v>
      </c>
      <c r="AA9" s="165">
        <v>46143</v>
      </c>
      <c r="AB9" s="165">
        <v>46264</v>
      </c>
      <c r="AC9" s="165">
        <v>46143</v>
      </c>
      <c r="AD9" s="165">
        <v>46264</v>
      </c>
    </row>
    <row r="10" spans="1:30">
      <c r="A10" s="164" t="s">
        <v>22</v>
      </c>
      <c r="B10" s="164" t="s">
        <v>100</v>
      </c>
      <c r="C10" s="165">
        <v>46204</v>
      </c>
      <c r="D10" s="165">
        <v>46264</v>
      </c>
      <c r="E10" s="165">
        <v>46204</v>
      </c>
      <c r="F10" s="165">
        <v>46264</v>
      </c>
      <c r="G10" s="165">
        <v>46204</v>
      </c>
      <c r="H10" s="165">
        <v>46264</v>
      </c>
      <c r="I10" s="165"/>
      <c r="J10" s="165"/>
      <c r="K10" s="165">
        <v>46204</v>
      </c>
      <c r="L10" s="165">
        <v>46264</v>
      </c>
      <c r="M10" s="165">
        <v>46204</v>
      </c>
      <c r="N10" s="165">
        <v>46264</v>
      </c>
      <c r="O10" s="165">
        <v>46204</v>
      </c>
      <c r="P10" s="165">
        <v>46264</v>
      </c>
      <c r="Q10" s="165"/>
      <c r="R10" s="165"/>
      <c r="S10" s="165"/>
      <c r="T10" s="165"/>
      <c r="U10" s="165"/>
      <c r="V10" s="165"/>
      <c r="W10" s="165"/>
      <c r="X10" s="165"/>
      <c r="Y10" s="165">
        <v>46204</v>
      </c>
      <c r="Z10" s="165">
        <v>46264</v>
      </c>
      <c r="AA10" s="165">
        <v>46204</v>
      </c>
      <c r="AB10" s="165">
        <v>46264</v>
      </c>
      <c r="AC10" s="165">
        <v>46204</v>
      </c>
      <c r="AD10" s="165">
        <v>46264</v>
      </c>
    </row>
    <row r="11" spans="1:30">
      <c r="A11" s="164" t="s">
        <v>28</v>
      </c>
      <c r="B11" s="164" t="s">
        <v>97</v>
      </c>
      <c r="C11" s="165">
        <v>46143</v>
      </c>
      <c r="D11" s="165">
        <v>46264</v>
      </c>
      <c r="E11" s="165">
        <v>46143</v>
      </c>
      <c r="F11" s="165">
        <v>46264</v>
      </c>
      <c r="G11" s="165">
        <v>46143</v>
      </c>
      <c r="H11" s="165">
        <v>46264</v>
      </c>
      <c r="I11" s="165">
        <v>46143</v>
      </c>
      <c r="J11" s="165">
        <v>46264</v>
      </c>
      <c r="K11" s="165">
        <v>46143</v>
      </c>
      <c r="L11" s="165">
        <v>46264</v>
      </c>
      <c r="M11" s="165">
        <v>46143</v>
      </c>
      <c r="N11" s="165">
        <v>46264</v>
      </c>
      <c r="O11" s="165">
        <v>46143</v>
      </c>
      <c r="P11" s="165">
        <v>46264</v>
      </c>
      <c r="Q11" s="165">
        <v>46143</v>
      </c>
      <c r="R11" s="165">
        <v>46264</v>
      </c>
      <c r="S11" s="165">
        <v>46143</v>
      </c>
      <c r="T11" s="165">
        <v>46264</v>
      </c>
      <c r="U11" s="165">
        <v>46143</v>
      </c>
      <c r="V11" s="165">
        <v>46264</v>
      </c>
      <c r="W11" s="165">
        <v>46143</v>
      </c>
      <c r="X11" s="165">
        <v>46264</v>
      </c>
      <c r="Y11" s="165">
        <v>46143</v>
      </c>
      <c r="Z11" s="165">
        <v>46264</v>
      </c>
      <c r="AA11" s="165">
        <v>46143</v>
      </c>
      <c r="AB11" s="165">
        <v>46264</v>
      </c>
      <c r="AC11" s="165">
        <v>46143</v>
      </c>
      <c r="AD11" s="165">
        <v>46264</v>
      </c>
    </row>
    <row r="12" spans="1:30">
      <c r="A12" s="164" t="s">
        <v>28</v>
      </c>
      <c r="B12" s="164" t="s">
        <v>98</v>
      </c>
      <c r="C12" s="165">
        <v>46204</v>
      </c>
      <c r="D12" s="165">
        <v>46264</v>
      </c>
      <c r="E12" s="165"/>
      <c r="F12" s="165"/>
      <c r="G12" s="165">
        <v>46204</v>
      </c>
      <c r="H12" s="165">
        <v>46264</v>
      </c>
      <c r="I12" s="165">
        <v>46204</v>
      </c>
      <c r="J12" s="165">
        <v>46264</v>
      </c>
      <c r="K12" s="165">
        <v>46204</v>
      </c>
      <c r="L12" s="165">
        <v>46264</v>
      </c>
      <c r="M12" s="165"/>
      <c r="N12" s="165"/>
      <c r="O12" s="165">
        <v>46204</v>
      </c>
      <c r="P12" s="165">
        <v>46264</v>
      </c>
      <c r="Q12" s="165">
        <v>46204</v>
      </c>
      <c r="R12" s="165">
        <v>46264</v>
      </c>
      <c r="S12" s="165"/>
      <c r="T12" s="165"/>
      <c r="U12" s="165"/>
      <c r="V12" s="165"/>
      <c r="W12" s="165"/>
      <c r="X12" s="165"/>
      <c r="Y12" s="165"/>
      <c r="Z12" s="165"/>
      <c r="AA12" s="165"/>
      <c r="AB12" s="165"/>
      <c r="AC12" s="165"/>
      <c r="AD12" s="165"/>
    </row>
    <row r="13" spans="1:30">
      <c r="A13" s="164" t="s">
        <v>28</v>
      </c>
      <c r="B13" s="164" t="s">
        <v>99</v>
      </c>
      <c r="C13" s="165">
        <v>46204</v>
      </c>
      <c r="D13" s="165">
        <v>46264</v>
      </c>
      <c r="E13" s="165">
        <v>46204</v>
      </c>
      <c r="F13" s="165">
        <v>46264</v>
      </c>
      <c r="G13" s="165">
        <v>46204</v>
      </c>
      <c r="H13" s="165">
        <v>46264</v>
      </c>
      <c r="I13" s="165">
        <v>46204</v>
      </c>
      <c r="J13" s="165">
        <v>46264</v>
      </c>
      <c r="K13" s="165">
        <v>46204</v>
      </c>
      <c r="L13" s="165">
        <v>46264</v>
      </c>
      <c r="M13" s="165">
        <v>46204</v>
      </c>
      <c r="N13" s="165">
        <v>46264</v>
      </c>
      <c r="O13" s="165">
        <v>46204</v>
      </c>
      <c r="P13" s="165">
        <v>46264</v>
      </c>
      <c r="Q13" s="165">
        <v>46204</v>
      </c>
      <c r="R13" s="165">
        <v>46264</v>
      </c>
      <c r="S13" s="165">
        <v>46204</v>
      </c>
      <c r="T13" s="165">
        <v>46264</v>
      </c>
      <c r="U13" s="165">
        <v>46204</v>
      </c>
      <c r="V13" s="165">
        <v>46264</v>
      </c>
      <c r="W13" s="165">
        <v>46204</v>
      </c>
      <c r="X13" s="165">
        <v>46264</v>
      </c>
      <c r="Y13" s="165">
        <v>46204</v>
      </c>
      <c r="Z13" s="165">
        <v>46264</v>
      </c>
      <c r="AA13" s="165">
        <v>46204</v>
      </c>
      <c r="AB13" s="165">
        <v>46264</v>
      </c>
      <c r="AC13" s="165">
        <v>46204</v>
      </c>
      <c r="AD13" s="165">
        <v>46264</v>
      </c>
    </row>
    <row r="14" spans="1:30">
      <c r="A14" s="164" t="s">
        <v>28</v>
      </c>
      <c r="B14" s="164" t="s">
        <v>100</v>
      </c>
      <c r="C14" s="165">
        <v>46204</v>
      </c>
      <c r="D14" s="165">
        <v>46264</v>
      </c>
      <c r="E14" s="165">
        <v>46204</v>
      </c>
      <c r="F14" s="165">
        <v>46264</v>
      </c>
      <c r="G14" s="165">
        <v>46204</v>
      </c>
      <c r="H14" s="165">
        <v>46264</v>
      </c>
      <c r="I14" s="165">
        <v>46204</v>
      </c>
      <c r="J14" s="165">
        <v>46264</v>
      </c>
      <c r="K14" s="165">
        <v>46204</v>
      </c>
      <c r="L14" s="165">
        <v>46264</v>
      </c>
      <c r="M14" s="165">
        <v>46204</v>
      </c>
      <c r="N14" s="165">
        <v>46264</v>
      </c>
      <c r="O14" s="165">
        <v>46204</v>
      </c>
      <c r="P14" s="165">
        <v>46264</v>
      </c>
      <c r="Q14" s="165">
        <v>46204</v>
      </c>
      <c r="R14" s="165">
        <v>46264</v>
      </c>
      <c r="S14" s="165">
        <v>46204</v>
      </c>
      <c r="T14" s="165">
        <v>46264</v>
      </c>
      <c r="U14" s="165">
        <v>46204</v>
      </c>
      <c r="V14" s="165">
        <v>46264</v>
      </c>
      <c r="W14" s="165">
        <v>46204</v>
      </c>
      <c r="X14" s="165">
        <v>46264</v>
      </c>
      <c r="Y14" s="165">
        <v>46204</v>
      </c>
      <c r="Z14" s="165">
        <v>46264</v>
      </c>
      <c r="AA14" s="165">
        <v>46204</v>
      </c>
      <c r="AB14" s="165">
        <v>46264</v>
      </c>
      <c r="AC14" s="165">
        <v>46204</v>
      </c>
      <c r="AD14" s="165">
        <v>46264</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DC2C1-97AF-4475-8C38-12D5DBEE91AF}">
  <dimension ref="A1:AW191"/>
  <sheetViews>
    <sheetView zoomScale="70" zoomScaleNormal="70" workbookViewId="0">
      <pane ySplit="2" topLeftCell="A21" activePane="bottomLeft" state="frozen"/>
      <selection pane="bottomLeft" activeCell="V124" sqref="V124"/>
    </sheetView>
  </sheetViews>
  <sheetFormatPr defaultColWidth="11.42578125" defaultRowHeight="22.5" customHeight="1"/>
  <cols>
    <col min="1" max="1" width="22.85546875" style="169" customWidth="1"/>
    <col min="2" max="2" width="38.140625" style="169" customWidth="1"/>
    <col min="3" max="4" width="15.28515625" style="166" hidden="1" customWidth="1"/>
    <col min="5" max="22" width="6" style="167" customWidth="1"/>
    <col min="23" max="23" width="2.5703125" style="167" customWidth="1"/>
    <col min="24" max="24" width="22.85546875" style="232" customWidth="1"/>
    <col min="25" max="25" width="38.140625" style="232" customWidth="1"/>
    <col min="26" max="26" width="2.28515625" style="167" hidden="1" customWidth="1"/>
    <col min="27" max="27" width="2.28515625" style="166" hidden="1" customWidth="1"/>
    <col min="28" max="45" width="6" style="166" customWidth="1"/>
    <col min="46" max="46" width="41.42578125" style="169" customWidth="1"/>
    <col min="47" max="47" width="60.85546875" style="169" customWidth="1"/>
    <col min="48" max="48" width="71" style="169" customWidth="1"/>
    <col min="49" max="49" width="82.42578125" style="169" customWidth="1"/>
    <col min="50" max="16384" width="11.42578125" style="166"/>
  </cols>
  <sheetData>
    <row r="1" spans="1:49" ht="22.5" customHeight="1">
      <c r="A1" s="291" t="s">
        <v>101</v>
      </c>
      <c r="B1" s="291"/>
      <c r="C1" s="291"/>
      <c r="D1" s="291"/>
      <c r="E1" s="291"/>
      <c r="F1" s="291"/>
      <c r="G1" s="291"/>
      <c r="H1" s="291"/>
      <c r="I1" s="291"/>
      <c r="J1" s="291"/>
      <c r="K1" s="291"/>
      <c r="L1" s="291"/>
      <c r="M1" s="291"/>
      <c r="N1" s="291"/>
      <c r="O1" s="291"/>
      <c r="P1" s="291"/>
      <c r="Q1" s="291"/>
      <c r="R1" s="291"/>
      <c r="S1" s="291"/>
      <c r="T1" s="291"/>
      <c r="U1" s="291"/>
      <c r="V1" s="291"/>
      <c r="W1" s="166"/>
      <c r="X1" s="222"/>
      <c r="Y1" s="222"/>
      <c r="Z1" s="166"/>
      <c r="AT1" s="235"/>
      <c r="AU1" s="235"/>
      <c r="AV1" s="235"/>
    </row>
    <row r="2" spans="1:49" ht="22.5" customHeight="1">
      <c r="A2" s="198" t="s">
        <v>102</v>
      </c>
      <c r="B2" s="197" t="s">
        <v>20</v>
      </c>
      <c r="C2" s="182" t="s">
        <v>22</v>
      </c>
      <c r="D2" s="183" t="s">
        <v>28</v>
      </c>
      <c r="E2" s="166"/>
      <c r="F2" s="166"/>
      <c r="G2" s="166"/>
      <c r="H2" s="166"/>
      <c r="I2" s="166"/>
      <c r="J2" s="166"/>
      <c r="K2" s="166"/>
      <c r="L2" s="166"/>
      <c r="M2" s="166"/>
      <c r="N2" s="166"/>
      <c r="O2" s="166"/>
      <c r="P2" s="166"/>
      <c r="Q2" s="166"/>
      <c r="R2" s="166"/>
      <c r="S2" s="166"/>
      <c r="T2" s="166"/>
      <c r="U2" s="166"/>
      <c r="V2" s="166"/>
      <c r="W2" s="166"/>
      <c r="X2" s="222"/>
      <c r="Y2" s="222"/>
      <c r="Z2" s="166"/>
      <c r="AT2" s="235"/>
      <c r="AU2" s="235"/>
      <c r="AV2" s="235"/>
    </row>
    <row r="3" spans="1:49" ht="22.5" customHeight="1">
      <c r="E3" s="168">
        <v>46139</v>
      </c>
      <c r="F3" s="168">
        <v>46146</v>
      </c>
      <c r="G3" s="168">
        <v>46153</v>
      </c>
      <c r="H3" s="168">
        <v>46160</v>
      </c>
      <c r="I3" s="168">
        <v>46167</v>
      </c>
      <c r="J3" s="168">
        <v>46174</v>
      </c>
      <c r="K3" s="168">
        <v>46181</v>
      </c>
      <c r="L3" s="168">
        <v>46188</v>
      </c>
      <c r="M3" s="168">
        <v>46195</v>
      </c>
      <c r="N3" s="168">
        <v>46202</v>
      </c>
      <c r="O3" s="168">
        <v>46209</v>
      </c>
      <c r="P3" s="168">
        <v>46216</v>
      </c>
      <c r="Q3" s="168">
        <v>46223</v>
      </c>
      <c r="R3" s="168">
        <v>46230</v>
      </c>
      <c r="S3" s="168">
        <v>46237</v>
      </c>
      <c r="T3" s="168">
        <v>46244</v>
      </c>
      <c r="U3" s="168">
        <v>46251</v>
      </c>
      <c r="V3" s="168">
        <v>46258</v>
      </c>
      <c r="W3" s="166"/>
      <c r="X3" s="222"/>
      <c r="Y3" s="222"/>
      <c r="Z3" s="166"/>
      <c r="AB3" s="166">
        <v>46139</v>
      </c>
      <c r="AC3" s="166">
        <v>46146</v>
      </c>
      <c r="AD3" s="166">
        <v>46153</v>
      </c>
      <c r="AE3" s="166">
        <v>46160</v>
      </c>
      <c r="AF3" s="166">
        <v>46167</v>
      </c>
      <c r="AG3" s="166">
        <v>46174</v>
      </c>
      <c r="AH3" s="166">
        <v>46181</v>
      </c>
      <c r="AI3" s="166">
        <v>46188</v>
      </c>
      <c r="AJ3" s="166">
        <v>46195</v>
      </c>
      <c r="AK3" s="166">
        <v>46202</v>
      </c>
      <c r="AL3" s="166">
        <v>46209</v>
      </c>
      <c r="AM3" s="166">
        <v>46216</v>
      </c>
      <c r="AN3" s="166">
        <v>46223</v>
      </c>
      <c r="AO3" s="166">
        <v>46230</v>
      </c>
      <c r="AP3" s="166">
        <v>46237</v>
      </c>
      <c r="AQ3" s="166">
        <v>46244</v>
      </c>
      <c r="AR3" s="166">
        <v>46251</v>
      </c>
      <c r="AS3">
        <v>46258</v>
      </c>
      <c r="AT3" s="235"/>
      <c r="AU3" s="235"/>
      <c r="AV3" s="235"/>
    </row>
    <row r="4" spans="1:49" s="208" customFormat="1" ht="22.5" customHeight="1">
      <c r="A4" s="292" t="s">
        <v>103</v>
      </c>
      <c r="B4" s="292"/>
      <c r="C4" s="292"/>
      <c r="D4" s="292"/>
      <c r="E4" s="292"/>
      <c r="F4" s="292"/>
      <c r="G4" s="292"/>
      <c r="H4" s="292"/>
      <c r="I4" s="292"/>
      <c r="J4" s="292"/>
      <c r="K4" s="292"/>
      <c r="L4" s="292"/>
      <c r="M4" s="292"/>
      <c r="N4" s="292"/>
      <c r="O4" s="292"/>
      <c r="P4" s="292"/>
      <c r="Q4" s="292"/>
      <c r="R4" s="292"/>
      <c r="S4" s="292"/>
      <c r="T4" s="292"/>
      <c r="U4" s="292"/>
      <c r="V4" s="292"/>
      <c r="X4" s="293" t="s">
        <v>104</v>
      </c>
      <c r="Y4" s="293"/>
      <c r="Z4" s="293"/>
      <c r="AA4" s="293"/>
      <c r="AB4" s="293"/>
      <c r="AC4" s="293"/>
      <c r="AD4" s="293"/>
      <c r="AE4" s="293"/>
      <c r="AF4" s="293"/>
      <c r="AG4" s="293"/>
      <c r="AH4" s="293"/>
      <c r="AI4" s="293"/>
      <c r="AJ4" s="293"/>
      <c r="AK4" s="293"/>
      <c r="AL4" s="293"/>
      <c r="AM4" s="293"/>
      <c r="AN4" s="293"/>
      <c r="AO4" s="293"/>
      <c r="AP4" s="293"/>
      <c r="AQ4" s="293"/>
      <c r="AR4" s="293"/>
      <c r="AS4" s="293"/>
      <c r="AT4" s="237"/>
      <c r="AU4" s="237"/>
      <c r="AV4" s="237"/>
      <c r="AW4" s="198"/>
    </row>
    <row r="5" spans="1:49" s="208" customFormat="1" ht="22.5" customHeight="1">
      <c r="A5" s="186" t="s">
        <v>105</v>
      </c>
      <c r="B5" s="187" t="s">
        <v>106</v>
      </c>
      <c r="C5" s="181" t="s">
        <v>95</v>
      </c>
      <c r="D5" s="181" t="s">
        <v>96</v>
      </c>
      <c r="E5" s="184" t="s">
        <v>107</v>
      </c>
      <c r="F5" s="184" t="s">
        <v>108</v>
      </c>
      <c r="G5" s="184" t="s">
        <v>109</v>
      </c>
      <c r="H5" s="184" t="s">
        <v>110</v>
      </c>
      <c r="I5" s="184" t="s">
        <v>111</v>
      </c>
      <c r="J5" s="184" t="s">
        <v>112</v>
      </c>
      <c r="K5" s="184" t="s">
        <v>113</v>
      </c>
      <c r="L5" s="184" t="s">
        <v>114</v>
      </c>
      <c r="M5" s="184" t="s">
        <v>115</v>
      </c>
      <c r="N5" s="184" t="s">
        <v>116</v>
      </c>
      <c r="O5" s="184" t="s">
        <v>117</v>
      </c>
      <c r="P5" s="184" t="s">
        <v>118</v>
      </c>
      <c r="Q5" s="184" t="s">
        <v>119</v>
      </c>
      <c r="R5" s="184" t="s">
        <v>120</v>
      </c>
      <c r="S5" s="184" t="s">
        <v>121</v>
      </c>
      <c r="T5" s="184" t="s">
        <v>122</v>
      </c>
      <c r="U5" s="184" t="s">
        <v>123</v>
      </c>
      <c r="V5" s="185" t="s">
        <v>124</v>
      </c>
      <c r="X5" s="219" t="s">
        <v>105</v>
      </c>
      <c r="Y5" s="220" t="s">
        <v>125</v>
      </c>
      <c r="Z5" s="184" t="s">
        <v>95</v>
      </c>
      <c r="AA5" s="184" t="s">
        <v>96</v>
      </c>
      <c r="AB5" s="184" t="s">
        <v>107</v>
      </c>
      <c r="AC5" s="184" t="s">
        <v>108</v>
      </c>
      <c r="AD5" s="184" t="s">
        <v>109</v>
      </c>
      <c r="AE5" s="184" t="s">
        <v>110</v>
      </c>
      <c r="AF5" s="184" t="s">
        <v>111</v>
      </c>
      <c r="AG5" s="184" t="s">
        <v>112</v>
      </c>
      <c r="AH5" s="184" t="s">
        <v>113</v>
      </c>
      <c r="AI5" s="184" t="s">
        <v>114</v>
      </c>
      <c r="AJ5" s="184" t="s">
        <v>115</v>
      </c>
      <c r="AK5" s="184" t="s">
        <v>116</v>
      </c>
      <c r="AL5" s="184" t="s">
        <v>117</v>
      </c>
      <c r="AM5" s="184" t="s">
        <v>118</v>
      </c>
      <c r="AN5" s="184" t="s">
        <v>119</v>
      </c>
      <c r="AO5" s="184" t="s">
        <v>120</v>
      </c>
      <c r="AP5" s="184" t="s">
        <v>121</v>
      </c>
      <c r="AQ5" s="184" t="s">
        <v>122</v>
      </c>
      <c r="AR5" s="184" t="s">
        <v>123</v>
      </c>
      <c r="AS5" s="185" t="s">
        <v>124</v>
      </c>
      <c r="AT5" s="202" t="s">
        <v>126</v>
      </c>
      <c r="AU5" s="201" t="s">
        <v>127</v>
      </c>
      <c r="AV5" s="201" t="s">
        <v>128</v>
      </c>
      <c r="AW5" s="203" t="s">
        <v>129</v>
      </c>
    </row>
    <row r="6" spans="1:49" ht="22.5" customHeight="1">
      <c r="A6" s="175" t="s">
        <v>20</v>
      </c>
      <c r="B6" s="169" t="s">
        <v>97</v>
      </c>
      <c r="C6" s="170">
        <v>46143</v>
      </c>
      <c r="D6" s="170">
        <v>46264</v>
      </c>
      <c r="E6" s="199" t="str">
        <f t="shared" ref="E6:N17" si="0">IFERROR(IF(OR($A6="",$A6="Model",LEFT($A6,5)="Markt"),"",IF(AND($C6&lt;=E$3+6,$D6&gt;=E$3),"■","")),"")</f>
        <v>■</v>
      </c>
      <c r="F6" s="199" t="str">
        <f t="shared" si="0"/>
        <v>■</v>
      </c>
      <c r="G6" s="199" t="str">
        <f t="shared" si="0"/>
        <v>■</v>
      </c>
      <c r="H6" s="199" t="str">
        <f t="shared" si="0"/>
        <v>■</v>
      </c>
      <c r="I6" s="199" t="str">
        <f t="shared" si="0"/>
        <v>■</v>
      </c>
      <c r="J6" s="199" t="str">
        <f t="shared" si="0"/>
        <v>■</v>
      </c>
      <c r="K6" s="199" t="str">
        <f t="shared" si="0"/>
        <v>■</v>
      </c>
      <c r="L6" s="199" t="str">
        <f t="shared" si="0"/>
        <v>■</v>
      </c>
      <c r="M6" s="199" t="str">
        <f t="shared" si="0"/>
        <v>■</v>
      </c>
      <c r="N6" s="199" t="str">
        <f t="shared" si="0"/>
        <v>■</v>
      </c>
      <c r="O6" s="199" t="str">
        <f t="shared" ref="O6:V17" si="1">IFERROR(IF(OR($A6="",$A6="Model",LEFT($A6,5)="Markt"),"",IF(AND($C6&lt;=O$3+6,$D6&gt;=O$3),"■","")),"")</f>
        <v>■</v>
      </c>
      <c r="P6" s="199" t="str">
        <f t="shared" si="1"/>
        <v>■</v>
      </c>
      <c r="Q6" s="199" t="str">
        <f t="shared" si="1"/>
        <v>■</v>
      </c>
      <c r="R6" s="199" t="str">
        <f t="shared" si="1"/>
        <v>■</v>
      </c>
      <c r="S6" s="199" t="str">
        <f t="shared" si="1"/>
        <v>■</v>
      </c>
      <c r="T6" s="199" t="str">
        <f t="shared" si="1"/>
        <v>■</v>
      </c>
      <c r="U6" s="199" t="str">
        <f t="shared" si="1"/>
        <v>■</v>
      </c>
      <c r="V6" s="177" t="str">
        <f t="shared" si="1"/>
        <v>■</v>
      </c>
      <c r="W6" s="166"/>
      <c r="X6" s="248" t="s">
        <v>22</v>
      </c>
      <c r="Y6" s="248" t="s">
        <v>130</v>
      </c>
      <c r="Z6" s="249"/>
      <c r="AA6" s="249"/>
      <c r="AB6" s="248" t="str">
        <f>IF(AND($Z6&lt;=AB$3+6,$AA6&gt;=AB$3),"■","")</f>
        <v/>
      </c>
      <c r="AC6" s="248" t="str">
        <f t="shared" ref="AC6:AS6" si="2">IF(AND($Z6&lt;=AC$3+6,$AA6&gt;=AC$3),"■","")</f>
        <v/>
      </c>
      <c r="AD6" s="248" t="str">
        <f t="shared" si="2"/>
        <v/>
      </c>
      <c r="AE6" s="248" t="str">
        <f t="shared" si="2"/>
        <v/>
      </c>
      <c r="AF6" s="248" t="str">
        <f t="shared" si="2"/>
        <v/>
      </c>
      <c r="AG6" s="248" t="str">
        <f t="shared" si="2"/>
        <v/>
      </c>
      <c r="AH6" s="248" t="str">
        <f t="shared" si="2"/>
        <v/>
      </c>
      <c r="AI6" s="248" t="str">
        <f t="shared" si="2"/>
        <v/>
      </c>
      <c r="AJ6" s="248" t="str">
        <f t="shared" si="2"/>
        <v/>
      </c>
      <c r="AK6" s="248" t="str">
        <f t="shared" si="2"/>
        <v/>
      </c>
      <c r="AL6" s="248" t="str">
        <f t="shared" si="2"/>
        <v/>
      </c>
      <c r="AM6" s="248" t="str">
        <f t="shared" si="2"/>
        <v/>
      </c>
      <c r="AN6" s="248" t="str">
        <f t="shared" si="2"/>
        <v/>
      </c>
      <c r="AO6" s="248" t="str">
        <f t="shared" si="2"/>
        <v/>
      </c>
      <c r="AP6" s="248" t="str">
        <f t="shared" si="2"/>
        <v/>
      </c>
      <c r="AQ6" s="248" t="str">
        <f t="shared" si="2"/>
        <v/>
      </c>
      <c r="AR6" s="248" t="str">
        <f t="shared" si="2"/>
        <v/>
      </c>
      <c r="AS6" s="248" t="str">
        <f t="shared" si="2"/>
        <v/>
      </c>
      <c r="AT6" s="235"/>
      <c r="AU6" s="235"/>
      <c r="AV6" s="235"/>
    </row>
    <row r="7" spans="1:49" ht="22.5" customHeight="1">
      <c r="A7" s="175" t="s">
        <v>20</v>
      </c>
      <c r="B7" s="169" t="s">
        <v>98</v>
      </c>
      <c r="C7" s="170">
        <v>46143</v>
      </c>
      <c r="D7" s="170">
        <v>46264</v>
      </c>
      <c r="E7" s="199" t="str">
        <f t="shared" si="0"/>
        <v>■</v>
      </c>
      <c r="F7" s="199" t="str">
        <f t="shared" si="0"/>
        <v>■</v>
      </c>
      <c r="G7" s="199" t="str">
        <f t="shared" si="0"/>
        <v>■</v>
      </c>
      <c r="H7" s="199" t="str">
        <f t="shared" si="0"/>
        <v>■</v>
      </c>
      <c r="I7" s="199" t="str">
        <f t="shared" si="0"/>
        <v>■</v>
      </c>
      <c r="J7" s="199" t="str">
        <f t="shared" si="0"/>
        <v>■</v>
      </c>
      <c r="K7" s="199" t="str">
        <f t="shared" si="0"/>
        <v>■</v>
      </c>
      <c r="L7" s="199" t="str">
        <f t="shared" si="0"/>
        <v>■</v>
      </c>
      <c r="M7" s="199" t="str">
        <f t="shared" si="0"/>
        <v>■</v>
      </c>
      <c r="N7" s="199" t="str">
        <f t="shared" si="0"/>
        <v>■</v>
      </c>
      <c r="O7" s="199" t="str">
        <f t="shared" si="1"/>
        <v>■</v>
      </c>
      <c r="P7" s="199" t="str">
        <f t="shared" si="1"/>
        <v>■</v>
      </c>
      <c r="Q7" s="199" t="str">
        <f t="shared" si="1"/>
        <v>■</v>
      </c>
      <c r="R7" s="199" t="str">
        <f t="shared" si="1"/>
        <v>■</v>
      </c>
      <c r="S7" s="199" t="str">
        <f t="shared" si="1"/>
        <v>■</v>
      </c>
      <c r="T7" s="199" t="str">
        <f t="shared" si="1"/>
        <v>■</v>
      </c>
      <c r="U7" s="199" t="str">
        <f t="shared" si="1"/>
        <v>■</v>
      </c>
      <c r="V7" s="177" t="str">
        <f t="shared" si="1"/>
        <v>■</v>
      </c>
      <c r="W7" s="166"/>
      <c r="X7" s="222"/>
      <c r="Y7" s="222"/>
      <c r="Z7" s="166"/>
      <c r="AT7" s="235"/>
      <c r="AU7" s="235"/>
      <c r="AV7" s="235"/>
    </row>
    <row r="8" spans="1:49" ht="22.5" customHeight="1">
      <c r="A8" s="175" t="s">
        <v>20</v>
      </c>
      <c r="B8" s="169" t="s">
        <v>99</v>
      </c>
      <c r="C8" s="170">
        <v>46143</v>
      </c>
      <c r="D8" s="170">
        <v>46264</v>
      </c>
      <c r="E8" s="199" t="str">
        <f t="shared" si="0"/>
        <v>■</v>
      </c>
      <c r="F8" s="199" t="str">
        <f t="shared" si="0"/>
        <v>■</v>
      </c>
      <c r="G8" s="199" t="str">
        <f t="shared" si="0"/>
        <v>■</v>
      </c>
      <c r="H8" s="199" t="str">
        <f t="shared" si="0"/>
        <v>■</v>
      </c>
      <c r="I8" s="199" t="str">
        <f t="shared" si="0"/>
        <v>■</v>
      </c>
      <c r="J8" s="199" t="str">
        <f t="shared" si="0"/>
        <v>■</v>
      </c>
      <c r="K8" s="199" t="str">
        <f t="shared" si="0"/>
        <v>■</v>
      </c>
      <c r="L8" s="199" t="str">
        <f t="shared" si="0"/>
        <v>■</v>
      </c>
      <c r="M8" s="199" t="str">
        <f t="shared" si="0"/>
        <v>■</v>
      </c>
      <c r="N8" s="199" t="str">
        <f t="shared" si="0"/>
        <v>■</v>
      </c>
      <c r="O8" s="199" t="str">
        <f t="shared" si="1"/>
        <v>■</v>
      </c>
      <c r="P8" s="199" t="str">
        <f t="shared" si="1"/>
        <v>■</v>
      </c>
      <c r="Q8" s="199" t="str">
        <f t="shared" si="1"/>
        <v>■</v>
      </c>
      <c r="R8" s="199" t="str">
        <f t="shared" si="1"/>
        <v>■</v>
      </c>
      <c r="S8" s="199" t="str">
        <f t="shared" si="1"/>
        <v>■</v>
      </c>
      <c r="T8" s="199" t="str">
        <f t="shared" si="1"/>
        <v>■</v>
      </c>
      <c r="U8" s="199" t="str">
        <f t="shared" si="1"/>
        <v>■</v>
      </c>
      <c r="V8" s="177" t="str">
        <f t="shared" si="1"/>
        <v>■</v>
      </c>
      <c r="W8" s="166"/>
      <c r="X8" s="222"/>
      <c r="Y8" s="222"/>
      <c r="Z8" s="166"/>
      <c r="AT8" s="235"/>
      <c r="AU8" s="235"/>
      <c r="AV8" s="235"/>
    </row>
    <row r="9" spans="1:49" ht="22.5" customHeight="1">
      <c r="A9" s="175" t="s">
        <v>20</v>
      </c>
      <c r="B9" s="169" t="s">
        <v>100</v>
      </c>
      <c r="C9" s="170">
        <v>46204</v>
      </c>
      <c r="D9" s="170">
        <v>46264</v>
      </c>
      <c r="E9" s="199" t="str">
        <f t="shared" si="0"/>
        <v/>
      </c>
      <c r="F9" s="199" t="str">
        <f t="shared" si="0"/>
        <v/>
      </c>
      <c r="G9" s="199" t="str">
        <f t="shared" si="0"/>
        <v/>
      </c>
      <c r="H9" s="199" t="str">
        <f t="shared" si="0"/>
        <v/>
      </c>
      <c r="I9" s="199" t="str">
        <f t="shared" si="0"/>
        <v/>
      </c>
      <c r="J9" s="199" t="str">
        <f t="shared" si="0"/>
        <v/>
      </c>
      <c r="K9" s="199" t="str">
        <f t="shared" si="0"/>
        <v/>
      </c>
      <c r="L9" s="199" t="str">
        <f t="shared" si="0"/>
        <v/>
      </c>
      <c r="M9" s="199" t="str">
        <f t="shared" si="0"/>
        <v/>
      </c>
      <c r="N9" s="199" t="str">
        <f t="shared" si="0"/>
        <v>■</v>
      </c>
      <c r="O9" s="199" t="str">
        <f t="shared" si="1"/>
        <v>■</v>
      </c>
      <c r="P9" s="199" t="str">
        <f t="shared" si="1"/>
        <v>■</v>
      </c>
      <c r="Q9" s="199" t="str">
        <f t="shared" si="1"/>
        <v>■</v>
      </c>
      <c r="R9" s="199" t="str">
        <f t="shared" si="1"/>
        <v>■</v>
      </c>
      <c r="S9" s="199" t="str">
        <f t="shared" si="1"/>
        <v>■</v>
      </c>
      <c r="T9" s="199" t="str">
        <f t="shared" si="1"/>
        <v>■</v>
      </c>
      <c r="U9" s="199" t="str">
        <f t="shared" si="1"/>
        <v>■</v>
      </c>
      <c r="V9" s="177" t="str">
        <f t="shared" si="1"/>
        <v>■</v>
      </c>
      <c r="W9" s="166"/>
      <c r="X9" s="222"/>
      <c r="Y9" s="222"/>
      <c r="Z9" s="166"/>
      <c r="AT9" s="235"/>
      <c r="AU9" s="235"/>
      <c r="AV9" s="235"/>
    </row>
    <row r="10" spans="1:49" ht="22.5" customHeight="1">
      <c r="A10" s="175" t="s">
        <v>22</v>
      </c>
      <c r="B10" s="169" t="s">
        <v>97</v>
      </c>
      <c r="C10" s="170">
        <v>46143</v>
      </c>
      <c r="D10" s="170">
        <v>46264</v>
      </c>
      <c r="E10" s="171" t="str">
        <f t="shared" si="0"/>
        <v>■</v>
      </c>
      <c r="F10" s="171" t="str">
        <f t="shared" si="0"/>
        <v>■</v>
      </c>
      <c r="G10" s="171" t="str">
        <f t="shared" si="0"/>
        <v>■</v>
      </c>
      <c r="H10" s="171" t="str">
        <f t="shared" si="0"/>
        <v>■</v>
      </c>
      <c r="I10" s="171" t="str">
        <f t="shared" si="0"/>
        <v>■</v>
      </c>
      <c r="J10" s="171" t="str">
        <f t="shared" si="0"/>
        <v>■</v>
      </c>
      <c r="K10" s="171" t="str">
        <f t="shared" si="0"/>
        <v>■</v>
      </c>
      <c r="L10" s="171" t="str">
        <f t="shared" si="0"/>
        <v>■</v>
      </c>
      <c r="M10" s="171" t="str">
        <f t="shared" si="0"/>
        <v>■</v>
      </c>
      <c r="N10" s="171" t="str">
        <f t="shared" si="0"/>
        <v>■</v>
      </c>
      <c r="O10" s="171" t="str">
        <f t="shared" si="1"/>
        <v>■</v>
      </c>
      <c r="P10" s="171" t="str">
        <f t="shared" si="1"/>
        <v>■</v>
      </c>
      <c r="Q10" s="171" t="str">
        <f t="shared" si="1"/>
        <v>■</v>
      </c>
      <c r="R10" s="171" t="str">
        <f t="shared" si="1"/>
        <v>■</v>
      </c>
      <c r="S10" s="171" t="str">
        <f t="shared" si="1"/>
        <v>■</v>
      </c>
      <c r="T10" s="171" t="str">
        <f t="shared" si="1"/>
        <v>■</v>
      </c>
      <c r="U10" s="171" t="str">
        <f t="shared" si="1"/>
        <v>■</v>
      </c>
      <c r="V10" s="178" t="str">
        <f t="shared" si="1"/>
        <v>■</v>
      </c>
      <c r="W10" s="166"/>
      <c r="X10" s="222"/>
      <c r="Y10" s="222"/>
      <c r="Z10" s="166"/>
      <c r="AT10" s="235"/>
      <c r="AU10" s="235"/>
      <c r="AV10" s="235"/>
    </row>
    <row r="11" spans="1:49" ht="22.5" customHeight="1">
      <c r="A11" s="175" t="s">
        <v>22</v>
      </c>
      <c r="B11" s="169" t="s">
        <v>98</v>
      </c>
      <c r="C11" s="170">
        <v>46143</v>
      </c>
      <c r="D11" s="170">
        <v>46264</v>
      </c>
      <c r="E11" s="171" t="str">
        <f t="shared" si="0"/>
        <v>■</v>
      </c>
      <c r="F11" s="171" t="str">
        <f t="shared" si="0"/>
        <v>■</v>
      </c>
      <c r="G11" s="171" t="str">
        <f t="shared" si="0"/>
        <v>■</v>
      </c>
      <c r="H11" s="171" t="str">
        <f t="shared" si="0"/>
        <v>■</v>
      </c>
      <c r="I11" s="171" t="str">
        <f t="shared" si="0"/>
        <v>■</v>
      </c>
      <c r="J11" s="171" t="str">
        <f t="shared" si="0"/>
        <v>■</v>
      </c>
      <c r="K11" s="171" t="str">
        <f t="shared" si="0"/>
        <v>■</v>
      </c>
      <c r="L11" s="171" t="str">
        <f t="shared" si="0"/>
        <v>■</v>
      </c>
      <c r="M11" s="171" t="str">
        <f t="shared" si="0"/>
        <v>■</v>
      </c>
      <c r="N11" s="171" t="str">
        <f t="shared" si="0"/>
        <v>■</v>
      </c>
      <c r="O11" s="171" t="str">
        <f t="shared" si="1"/>
        <v>■</v>
      </c>
      <c r="P11" s="171" t="str">
        <f t="shared" si="1"/>
        <v>■</v>
      </c>
      <c r="Q11" s="171" t="str">
        <f t="shared" si="1"/>
        <v>■</v>
      </c>
      <c r="R11" s="171" t="str">
        <f t="shared" si="1"/>
        <v>■</v>
      </c>
      <c r="S11" s="171" t="str">
        <f t="shared" si="1"/>
        <v>■</v>
      </c>
      <c r="T11" s="171" t="str">
        <f t="shared" si="1"/>
        <v>■</v>
      </c>
      <c r="U11" s="171" t="str">
        <f t="shared" si="1"/>
        <v>■</v>
      </c>
      <c r="V11" s="178" t="str">
        <f t="shared" si="1"/>
        <v>■</v>
      </c>
      <c r="W11" s="166"/>
      <c r="X11" s="222"/>
      <c r="Y11" s="222"/>
      <c r="Z11" s="166"/>
      <c r="AT11" s="235"/>
      <c r="AU11" s="235"/>
      <c r="AV11" s="235"/>
    </row>
    <row r="12" spans="1:49" ht="22.5" customHeight="1">
      <c r="A12" s="175" t="s">
        <v>22</v>
      </c>
      <c r="B12" s="169" t="s">
        <v>99</v>
      </c>
      <c r="C12" s="170">
        <v>46143</v>
      </c>
      <c r="D12" s="170">
        <v>46264</v>
      </c>
      <c r="E12" s="171" t="str">
        <f t="shared" si="0"/>
        <v>■</v>
      </c>
      <c r="F12" s="171" t="str">
        <f t="shared" si="0"/>
        <v>■</v>
      </c>
      <c r="G12" s="171" t="str">
        <f t="shared" si="0"/>
        <v>■</v>
      </c>
      <c r="H12" s="171" t="str">
        <f t="shared" si="0"/>
        <v>■</v>
      </c>
      <c r="I12" s="171" t="str">
        <f t="shared" si="0"/>
        <v>■</v>
      </c>
      <c r="J12" s="171" t="str">
        <f t="shared" si="0"/>
        <v>■</v>
      </c>
      <c r="K12" s="171" t="str">
        <f t="shared" si="0"/>
        <v>■</v>
      </c>
      <c r="L12" s="171" t="str">
        <f t="shared" si="0"/>
        <v>■</v>
      </c>
      <c r="M12" s="171" t="str">
        <f t="shared" si="0"/>
        <v>■</v>
      </c>
      <c r="N12" s="171" t="str">
        <f t="shared" si="0"/>
        <v>■</v>
      </c>
      <c r="O12" s="171" t="str">
        <f t="shared" si="1"/>
        <v>■</v>
      </c>
      <c r="P12" s="171" t="str">
        <f t="shared" si="1"/>
        <v>■</v>
      </c>
      <c r="Q12" s="171" t="str">
        <f t="shared" si="1"/>
        <v>■</v>
      </c>
      <c r="R12" s="171" t="str">
        <f t="shared" si="1"/>
        <v>■</v>
      </c>
      <c r="S12" s="171" t="str">
        <f t="shared" si="1"/>
        <v>■</v>
      </c>
      <c r="T12" s="171" t="str">
        <f t="shared" si="1"/>
        <v>■</v>
      </c>
      <c r="U12" s="171" t="str">
        <f t="shared" si="1"/>
        <v>■</v>
      </c>
      <c r="V12" s="178" t="str">
        <f t="shared" si="1"/>
        <v>■</v>
      </c>
      <c r="W12" s="166"/>
      <c r="X12" s="222"/>
      <c r="Y12" s="222"/>
      <c r="Z12" s="166"/>
      <c r="AT12" s="235"/>
      <c r="AU12" s="235"/>
      <c r="AV12" s="235"/>
    </row>
    <row r="13" spans="1:49" ht="22.5" customHeight="1">
      <c r="A13" s="175" t="s">
        <v>22</v>
      </c>
      <c r="B13" s="169" t="s">
        <v>100</v>
      </c>
      <c r="C13" s="170">
        <v>46204</v>
      </c>
      <c r="D13" s="170">
        <v>46264</v>
      </c>
      <c r="E13" s="171" t="str">
        <f t="shared" si="0"/>
        <v/>
      </c>
      <c r="F13" s="171" t="str">
        <f t="shared" si="0"/>
        <v/>
      </c>
      <c r="G13" s="171" t="str">
        <f t="shared" si="0"/>
        <v/>
      </c>
      <c r="H13" s="171" t="str">
        <f t="shared" si="0"/>
        <v/>
      </c>
      <c r="I13" s="171" t="str">
        <f t="shared" si="0"/>
        <v/>
      </c>
      <c r="J13" s="171" t="str">
        <f t="shared" si="0"/>
        <v/>
      </c>
      <c r="K13" s="171" t="str">
        <f t="shared" si="0"/>
        <v/>
      </c>
      <c r="L13" s="171" t="str">
        <f t="shared" si="0"/>
        <v/>
      </c>
      <c r="M13" s="171" t="str">
        <f t="shared" si="0"/>
        <v/>
      </c>
      <c r="N13" s="171" t="str">
        <f t="shared" si="0"/>
        <v>■</v>
      </c>
      <c r="O13" s="171" t="str">
        <f t="shared" si="1"/>
        <v>■</v>
      </c>
      <c r="P13" s="171" t="str">
        <f t="shared" si="1"/>
        <v>■</v>
      </c>
      <c r="Q13" s="171" t="str">
        <f t="shared" si="1"/>
        <v>■</v>
      </c>
      <c r="R13" s="171" t="str">
        <f t="shared" si="1"/>
        <v>■</v>
      </c>
      <c r="S13" s="171" t="str">
        <f t="shared" si="1"/>
        <v>■</v>
      </c>
      <c r="T13" s="171" t="str">
        <f t="shared" si="1"/>
        <v>■</v>
      </c>
      <c r="U13" s="171" t="str">
        <f t="shared" si="1"/>
        <v>■</v>
      </c>
      <c r="V13" s="178" t="str">
        <f t="shared" si="1"/>
        <v>■</v>
      </c>
      <c r="W13" s="166"/>
      <c r="X13" s="222"/>
      <c r="Y13" s="222"/>
      <c r="Z13" s="166"/>
      <c r="AT13" s="235"/>
      <c r="AU13" s="235"/>
      <c r="AV13" s="235"/>
    </row>
    <row r="14" spans="1:49" ht="22.5" customHeight="1">
      <c r="A14" s="175" t="s">
        <v>28</v>
      </c>
      <c r="B14" s="169" t="s">
        <v>97</v>
      </c>
      <c r="C14" s="170">
        <v>46143</v>
      </c>
      <c r="D14" s="170">
        <v>46264</v>
      </c>
      <c r="E14" s="200" t="str">
        <f t="shared" si="0"/>
        <v>■</v>
      </c>
      <c r="F14" s="200" t="str">
        <f t="shared" si="0"/>
        <v>■</v>
      </c>
      <c r="G14" s="200" t="str">
        <f t="shared" si="0"/>
        <v>■</v>
      </c>
      <c r="H14" s="200" t="str">
        <f t="shared" si="0"/>
        <v>■</v>
      </c>
      <c r="I14" s="200" t="str">
        <f t="shared" si="0"/>
        <v>■</v>
      </c>
      <c r="J14" s="200" t="str">
        <f t="shared" si="0"/>
        <v>■</v>
      </c>
      <c r="K14" s="200" t="str">
        <f t="shared" si="0"/>
        <v>■</v>
      </c>
      <c r="L14" s="200" t="str">
        <f t="shared" si="0"/>
        <v>■</v>
      </c>
      <c r="M14" s="200" t="str">
        <f t="shared" si="0"/>
        <v>■</v>
      </c>
      <c r="N14" s="200" t="str">
        <f t="shared" si="0"/>
        <v>■</v>
      </c>
      <c r="O14" s="200" t="str">
        <f t="shared" si="1"/>
        <v>■</v>
      </c>
      <c r="P14" s="200" t="str">
        <f t="shared" si="1"/>
        <v>■</v>
      </c>
      <c r="Q14" s="200" t="str">
        <f t="shared" si="1"/>
        <v>■</v>
      </c>
      <c r="R14" s="200" t="str">
        <f t="shared" si="1"/>
        <v>■</v>
      </c>
      <c r="S14" s="200" t="str">
        <f t="shared" si="1"/>
        <v>■</v>
      </c>
      <c r="T14" s="200" t="str">
        <f t="shared" si="1"/>
        <v>■</v>
      </c>
      <c r="U14" s="200" t="str">
        <f t="shared" si="1"/>
        <v>■</v>
      </c>
      <c r="V14" s="179" t="str">
        <f t="shared" si="1"/>
        <v>■</v>
      </c>
      <c r="W14" s="166"/>
      <c r="X14" s="222"/>
      <c r="Y14" s="222"/>
      <c r="Z14" s="166"/>
      <c r="AT14" s="235"/>
      <c r="AU14" s="235"/>
      <c r="AV14" s="235"/>
    </row>
    <row r="15" spans="1:49" ht="22.5" customHeight="1">
      <c r="A15" s="175" t="s">
        <v>28</v>
      </c>
      <c r="B15" s="169" t="s">
        <v>98</v>
      </c>
      <c r="C15" s="170">
        <v>46204</v>
      </c>
      <c r="D15" s="170">
        <v>46264</v>
      </c>
      <c r="E15" s="200" t="str">
        <f t="shared" si="0"/>
        <v/>
      </c>
      <c r="F15" s="200" t="str">
        <f t="shared" si="0"/>
        <v/>
      </c>
      <c r="G15" s="200" t="str">
        <f t="shared" si="0"/>
        <v/>
      </c>
      <c r="H15" s="200" t="str">
        <f t="shared" si="0"/>
        <v/>
      </c>
      <c r="I15" s="200" t="str">
        <f t="shared" si="0"/>
        <v/>
      </c>
      <c r="J15" s="200" t="str">
        <f t="shared" si="0"/>
        <v/>
      </c>
      <c r="K15" s="200" t="str">
        <f t="shared" si="0"/>
        <v/>
      </c>
      <c r="L15" s="200" t="str">
        <f t="shared" si="0"/>
        <v/>
      </c>
      <c r="M15" s="200" t="str">
        <f t="shared" si="0"/>
        <v/>
      </c>
      <c r="N15" s="200" t="str">
        <f t="shared" si="0"/>
        <v>■</v>
      </c>
      <c r="O15" s="200" t="str">
        <f t="shared" si="1"/>
        <v>■</v>
      </c>
      <c r="P15" s="200" t="str">
        <f t="shared" si="1"/>
        <v>■</v>
      </c>
      <c r="Q15" s="200" t="str">
        <f t="shared" si="1"/>
        <v>■</v>
      </c>
      <c r="R15" s="200" t="str">
        <f t="shared" si="1"/>
        <v>■</v>
      </c>
      <c r="S15" s="200" t="str">
        <f t="shared" si="1"/>
        <v>■</v>
      </c>
      <c r="T15" s="200" t="str">
        <f t="shared" si="1"/>
        <v>■</v>
      </c>
      <c r="U15" s="200" t="str">
        <f t="shared" si="1"/>
        <v>■</v>
      </c>
      <c r="V15" s="179" t="str">
        <f t="shared" si="1"/>
        <v>■</v>
      </c>
      <c r="W15" s="166"/>
      <c r="X15" s="222"/>
      <c r="Y15" s="222"/>
      <c r="Z15" s="166"/>
      <c r="AT15" s="235"/>
      <c r="AU15" s="235"/>
      <c r="AV15" s="235"/>
    </row>
    <row r="16" spans="1:49" ht="22.5" customHeight="1">
      <c r="A16" s="175" t="s">
        <v>28</v>
      </c>
      <c r="B16" s="169" t="s">
        <v>99</v>
      </c>
      <c r="C16" s="170">
        <v>46204</v>
      </c>
      <c r="D16" s="170">
        <v>46264</v>
      </c>
      <c r="E16" s="200" t="str">
        <f t="shared" si="0"/>
        <v/>
      </c>
      <c r="F16" s="200" t="str">
        <f t="shared" si="0"/>
        <v/>
      </c>
      <c r="G16" s="200" t="str">
        <f t="shared" si="0"/>
        <v/>
      </c>
      <c r="H16" s="200" t="str">
        <f t="shared" si="0"/>
        <v/>
      </c>
      <c r="I16" s="200" t="str">
        <f t="shared" si="0"/>
        <v/>
      </c>
      <c r="J16" s="200" t="str">
        <f t="shared" si="0"/>
        <v/>
      </c>
      <c r="K16" s="200" t="str">
        <f t="shared" si="0"/>
        <v/>
      </c>
      <c r="L16" s="200" t="str">
        <f t="shared" si="0"/>
        <v/>
      </c>
      <c r="M16" s="200" t="str">
        <f t="shared" si="0"/>
        <v/>
      </c>
      <c r="N16" s="200" t="str">
        <f t="shared" si="0"/>
        <v>■</v>
      </c>
      <c r="O16" s="200" t="str">
        <f t="shared" si="1"/>
        <v>■</v>
      </c>
      <c r="P16" s="200" t="str">
        <f t="shared" si="1"/>
        <v>■</v>
      </c>
      <c r="Q16" s="200" t="str">
        <f t="shared" si="1"/>
        <v>■</v>
      </c>
      <c r="R16" s="200" t="str">
        <f t="shared" si="1"/>
        <v>■</v>
      </c>
      <c r="S16" s="200" t="str">
        <f t="shared" si="1"/>
        <v>■</v>
      </c>
      <c r="T16" s="200" t="str">
        <f t="shared" si="1"/>
        <v>■</v>
      </c>
      <c r="U16" s="200" t="str">
        <f t="shared" si="1"/>
        <v>■</v>
      </c>
      <c r="V16" s="179" t="str">
        <f t="shared" si="1"/>
        <v>■</v>
      </c>
      <c r="W16" s="166"/>
      <c r="X16" s="222"/>
      <c r="Y16" s="222"/>
      <c r="Z16" s="166"/>
      <c r="AT16" s="235"/>
      <c r="AU16" s="235"/>
      <c r="AV16" s="235"/>
    </row>
    <row r="17" spans="1:49" ht="22.5" customHeight="1">
      <c r="A17" s="176" t="s">
        <v>28</v>
      </c>
      <c r="B17" s="172" t="s">
        <v>100</v>
      </c>
      <c r="C17" s="173">
        <v>46204</v>
      </c>
      <c r="D17" s="173">
        <v>46264</v>
      </c>
      <c r="E17" s="174" t="str">
        <f t="shared" si="0"/>
        <v/>
      </c>
      <c r="F17" s="174" t="str">
        <f t="shared" si="0"/>
        <v/>
      </c>
      <c r="G17" s="174" t="str">
        <f t="shared" si="0"/>
        <v/>
      </c>
      <c r="H17" s="174" t="str">
        <f t="shared" si="0"/>
        <v/>
      </c>
      <c r="I17" s="174" t="str">
        <f t="shared" si="0"/>
        <v/>
      </c>
      <c r="J17" s="174" t="str">
        <f t="shared" si="0"/>
        <v/>
      </c>
      <c r="K17" s="174" t="str">
        <f t="shared" si="0"/>
        <v/>
      </c>
      <c r="L17" s="174" t="str">
        <f t="shared" si="0"/>
        <v/>
      </c>
      <c r="M17" s="174" t="str">
        <f t="shared" si="0"/>
        <v/>
      </c>
      <c r="N17" s="174" t="str">
        <f t="shared" si="0"/>
        <v>■</v>
      </c>
      <c r="O17" s="174" t="str">
        <f t="shared" si="1"/>
        <v>■</v>
      </c>
      <c r="P17" s="174" t="str">
        <f t="shared" si="1"/>
        <v>■</v>
      </c>
      <c r="Q17" s="174" t="str">
        <f t="shared" si="1"/>
        <v>■</v>
      </c>
      <c r="R17" s="174" t="str">
        <f t="shared" si="1"/>
        <v>■</v>
      </c>
      <c r="S17" s="174" t="str">
        <f t="shared" si="1"/>
        <v>■</v>
      </c>
      <c r="T17" s="174" t="str">
        <f t="shared" si="1"/>
        <v>■</v>
      </c>
      <c r="U17" s="174" t="str">
        <f t="shared" si="1"/>
        <v>■</v>
      </c>
      <c r="V17" s="180" t="str">
        <f t="shared" si="1"/>
        <v>■</v>
      </c>
      <c r="W17" s="166"/>
      <c r="X17" s="222"/>
      <c r="Y17" s="222"/>
      <c r="Z17" s="166"/>
      <c r="AT17" s="235"/>
      <c r="AU17" s="235"/>
      <c r="AV17" s="235"/>
    </row>
    <row r="18" spans="1:49" s="208" customFormat="1" ht="22.5" customHeight="1">
      <c r="A18" s="292" t="s">
        <v>131</v>
      </c>
      <c r="B18" s="292"/>
      <c r="C18" s="292"/>
      <c r="D18" s="292"/>
      <c r="E18" s="292"/>
      <c r="F18" s="292"/>
      <c r="G18" s="292"/>
      <c r="H18" s="292"/>
      <c r="I18" s="292"/>
      <c r="J18" s="292"/>
      <c r="K18" s="292"/>
      <c r="L18" s="292"/>
      <c r="M18" s="292"/>
      <c r="N18" s="292"/>
      <c r="O18" s="292"/>
      <c r="P18" s="292"/>
      <c r="Q18" s="292"/>
      <c r="R18" s="292"/>
      <c r="S18" s="292"/>
      <c r="T18" s="292"/>
      <c r="U18" s="292"/>
      <c r="V18" s="292"/>
      <c r="X18" s="294" t="s">
        <v>132</v>
      </c>
      <c r="Y18" s="294"/>
      <c r="Z18" s="294"/>
      <c r="AA18" s="294"/>
      <c r="AB18" s="294"/>
      <c r="AC18" s="294"/>
      <c r="AD18" s="294"/>
      <c r="AE18" s="294"/>
      <c r="AF18" s="294"/>
      <c r="AG18" s="294"/>
      <c r="AH18" s="294"/>
      <c r="AI18" s="294"/>
      <c r="AJ18" s="294"/>
      <c r="AK18" s="294"/>
      <c r="AL18" s="294"/>
      <c r="AM18" s="294"/>
      <c r="AN18" s="294"/>
      <c r="AO18" s="294"/>
      <c r="AP18" s="294"/>
      <c r="AQ18" s="294"/>
      <c r="AR18" s="294"/>
      <c r="AS18" s="294"/>
      <c r="AT18" s="237" t="str" cm="1">
        <f t="array" ref="AT18">_xlfn.LET(_xlpm.mL,A18,_xlpm.aL,B18,_xlpm.mR,X18,_xlpm.aR,Y18,_xlpm.useR,AND(_xlpm.mR&lt;&gt;"",_xlpm.mR&lt;&gt;"Model",LEFT(_xlpm.mR,6)&lt;&gt;"Markt:"),_xlpm.m,IF(_xlpm.useR,_xlpm.mR,_xlpm.mL),_xlpm.a,IF(_xlpm.useR,_xlpm.aR,_xlpm.aL),_xlpm.rng,IF(_xlpm.useR,X$1:X18,A$1:A18),IF(OR(_xlpm.m="",_xlpm.m="Model",LEFT(_xlpm.m,6)="Markt:"),"",_xlfn.LET(_xlpm.mkt,LOOKUP(2,1/(LEFT(_xlpm.rng,6)="Markt:"),_xlpm.rng),_xlpm.mktNameRaw,TRIM(MID(_xlpm.mkt,FIND(":",_xlpm.mkt)+1,99)),_xlpm.mktName,TRIM(SUBSTITUTE(_xlpm.mktNameRaw,"(Survey)","")),_xlfn.XLOOKUP(_xlpm.mktName&amp;"|"&amp;SUBSTITUTE(_xlpm.m," ","")&amp;"|"&amp;_xlpm.a,tblMassnahmen[Key],tblMassnahmen[Kanal],""))))</f>
        <v/>
      </c>
      <c r="AU18" s="237" t="str" cm="1">
        <f t="array" ref="AU18">_xlfn.LET(_xlpm.mL,A18,_xlpm.aL,B18,_xlpm.mR,X18,_xlpm.aR,Y18,_xlpm.useR,AND(_xlpm.mR&lt;&gt;"",_xlpm.mR&lt;&gt;"Model",LEFT(_xlpm.mR,6)&lt;&gt;"Markt:"),_xlpm.m,IF(_xlpm.useR,_xlpm.mR,_xlpm.mL),_xlpm.a,IF(_xlpm.useR,_xlpm.aR,_xlpm.aL),_xlpm.rng,IF(_xlpm.useR,X$1:X18,A$1:A18),IF(OR(_xlpm.m="",_xlpm.m="Model",LEFT(_xlpm.m,6)="Markt:"),"",_xlfn.LET(_xlpm.mkt,LOOKUP(2,1/(LEFT(_xlpm.rng,6)="Markt:"),_xlpm.rng),_xlpm.mktNameRaw,TRIM(MID(_xlpm.mkt,FIND(":",_xlpm.mkt)+1,99)),_xlpm.mktName,TRIM(SUBSTITUTE(_xlpm.mktNameRaw,"(Survey)","")),_xlfn.XLOOKUP(_xlpm.mktName&amp;"|"&amp;SUBSTITUTE(_xlpm.m," ","")&amp;"|"&amp;_xlpm.a,tblMassnahmen[Key],tblMassnahmen[Budget],""))))</f>
        <v/>
      </c>
      <c r="AV18" s="237" t="str" cm="1">
        <f t="array" ref="AV18">_xlfn.LET(_xlpm.mL,A18,_xlpm.aL,B18,_xlpm.mR,X18,_xlpm.aR,Y18,_xlpm.useR,AND(_xlpm.mR&lt;&gt;"",_xlpm.mR&lt;&gt;"Model",LEFT(_xlpm.mR,6)&lt;&gt;"Markt:"),_xlpm.m,IF(_xlpm.useR,_xlpm.mR,_xlpm.mL),_xlpm.a,IF(_xlpm.useR,_xlpm.aR,_xlpm.aL),_xlpm.rng,IF(_xlpm.useR,X$1:X18,A$1:A18),IF(OR(_xlpm.m="",_xlpm.m="Model",LEFT(_xlpm.m,6)="Markt:"),"",_xlfn.LET(_xlpm.mkt,LOOKUP(2,1/(LEFT(_xlpm.rng,6)="Markt:"),_xlpm.rng),_xlpm.mktNameRaw,TRIM(MID(_xlpm.mkt,FIND(":",_xlpm.mkt)+1,99)),_xlpm.mktName,TRIM(SUBSTITUTE(_xlpm.mktNameRaw,"(Survey)","")),_xlfn.XLOOKUP(_xlpm.mktName&amp;"|"&amp;SUBSTITUTE(_xlpm.m," ","")&amp;"|"&amp;_xlpm.a,tblMassnahmen[Key],tblMassnahmen[KPI],""))))</f>
        <v/>
      </c>
      <c r="AW18" s="198"/>
    </row>
    <row r="19" spans="1:49" s="208" customFormat="1" ht="22.5" customHeight="1">
      <c r="A19" s="186" t="s">
        <v>105</v>
      </c>
      <c r="B19" s="187" t="s">
        <v>106</v>
      </c>
      <c r="C19" s="181" t="s">
        <v>95</v>
      </c>
      <c r="D19" s="181" t="s">
        <v>96</v>
      </c>
      <c r="E19" s="184" t="s">
        <v>107</v>
      </c>
      <c r="F19" s="184" t="s">
        <v>108</v>
      </c>
      <c r="G19" s="184" t="s">
        <v>109</v>
      </c>
      <c r="H19" s="184" t="s">
        <v>110</v>
      </c>
      <c r="I19" s="184" t="s">
        <v>111</v>
      </c>
      <c r="J19" s="184" t="s">
        <v>112</v>
      </c>
      <c r="K19" s="184" t="s">
        <v>113</v>
      </c>
      <c r="L19" s="184" t="s">
        <v>114</v>
      </c>
      <c r="M19" s="184" t="s">
        <v>115</v>
      </c>
      <c r="N19" s="184" t="s">
        <v>116</v>
      </c>
      <c r="O19" s="184" t="s">
        <v>117</v>
      </c>
      <c r="P19" s="184" t="s">
        <v>118</v>
      </c>
      <c r="Q19" s="184" t="s">
        <v>119</v>
      </c>
      <c r="R19" s="184" t="s">
        <v>120</v>
      </c>
      <c r="S19" s="184" t="s">
        <v>121</v>
      </c>
      <c r="T19" s="184" t="s">
        <v>122</v>
      </c>
      <c r="U19" s="184" t="s">
        <v>123</v>
      </c>
      <c r="V19" s="185" t="s">
        <v>124</v>
      </c>
      <c r="X19" s="219" t="s">
        <v>105</v>
      </c>
      <c r="Y19" s="220" t="s">
        <v>125</v>
      </c>
      <c r="Z19" s="184" t="s">
        <v>95</v>
      </c>
      <c r="AA19" s="184" t="s">
        <v>96</v>
      </c>
      <c r="AB19" s="184" t="s">
        <v>107</v>
      </c>
      <c r="AC19" s="184" t="s">
        <v>108</v>
      </c>
      <c r="AD19" s="184" t="s">
        <v>109</v>
      </c>
      <c r="AE19" s="184" t="s">
        <v>110</v>
      </c>
      <c r="AF19" s="184" t="s">
        <v>111</v>
      </c>
      <c r="AG19" s="184" t="s">
        <v>112</v>
      </c>
      <c r="AH19" s="184" t="s">
        <v>113</v>
      </c>
      <c r="AI19" s="184" t="s">
        <v>114</v>
      </c>
      <c r="AJ19" s="184" t="s">
        <v>115</v>
      </c>
      <c r="AK19" s="184" t="s">
        <v>116</v>
      </c>
      <c r="AL19" s="184" t="s">
        <v>117</v>
      </c>
      <c r="AM19" s="184" t="s">
        <v>118</v>
      </c>
      <c r="AN19" s="184" t="s">
        <v>119</v>
      </c>
      <c r="AO19" s="184" t="s">
        <v>120</v>
      </c>
      <c r="AP19" s="184" t="s">
        <v>121</v>
      </c>
      <c r="AQ19" s="184" t="s">
        <v>122</v>
      </c>
      <c r="AR19" s="184" t="s">
        <v>123</v>
      </c>
      <c r="AS19" s="185" t="s">
        <v>124</v>
      </c>
      <c r="AT19" s="202" t="s">
        <v>126</v>
      </c>
      <c r="AU19" s="201" t="s">
        <v>127</v>
      </c>
      <c r="AV19" s="201" t="s">
        <v>128</v>
      </c>
      <c r="AW19" s="203" t="s">
        <v>129</v>
      </c>
    </row>
    <row r="20" spans="1:49" ht="22.5" customHeight="1">
      <c r="A20" s="175" t="s">
        <v>20</v>
      </c>
      <c r="B20" s="169" t="s">
        <v>97</v>
      </c>
      <c r="C20" s="170">
        <v>46143</v>
      </c>
      <c r="D20" s="170">
        <v>46264</v>
      </c>
      <c r="E20" s="199" t="str">
        <f t="shared" ref="E20:N28" si="3">IFERROR(IF(OR($A20="",$A20="Model",LEFT($A20,5)="Markt"),"",IF(AND($C20&lt;=E$3+6,$D20&gt;=E$3),"■","")),"")</f>
        <v>■</v>
      </c>
      <c r="F20" s="199" t="str">
        <f t="shared" si="3"/>
        <v>■</v>
      </c>
      <c r="G20" s="199" t="str">
        <f t="shared" si="3"/>
        <v>■</v>
      </c>
      <c r="H20" s="199" t="str">
        <f t="shared" si="3"/>
        <v>■</v>
      </c>
      <c r="I20" s="199" t="str">
        <f t="shared" si="3"/>
        <v>■</v>
      </c>
      <c r="J20" s="199" t="str">
        <f t="shared" si="3"/>
        <v>■</v>
      </c>
      <c r="K20" s="199" t="str">
        <f t="shared" si="3"/>
        <v>■</v>
      </c>
      <c r="L20" s="199" t="str">
        <f t="shared" si="3"/>
        <v>■</v>
      </c>
      <c r="M20" s="199" t="str">
        <f t="shared" si="3"/>
        <v>■</v>
      </c>
      <c r="N20" s="199" t="str">
        <f t="shared" si="3"/>
        <v>■</v>
      </c>
      <c r="O20" s="199" t="str">
        <f t="shared" ref="O20:V28" si="4">IFERROR(IF(OR($A20="",$A20="Model",LEFT($A20,5)="Markt"),"",IF(AND($C20&lt;=O$3+6,$D20&gt;=O$3),"■","")),"")</f>
        <v>■</v>
      </c>
      <c r="P20" s="199" t="str">
        <f t="shared" si="4"/>
        <v>■</v>
      </c>
      <c r="Q20" s="199" t="str">
        <f t="shared" si="4"/>
        <v>■</v>
      </c>
      <c r="R20" s="199" t="str">
        <f t="shared" si="4"/>
        <v>■</v>
      </c>
      <c r="S20" s="199" t="str">
        <f t="shared" si="4"/>
        <v>■</v>
      </c>
      <c r="T20" s="199" t="str">
        <f t="shared" si="4"/>
        <v>■</v>
      </c>
      <c r="U20" s="199" t="str">
        <f t="shared" si="4"/>
        <v>■</v>
      </c>
      <c r="V20" s="177" t="str">
        <f t="shared" si="4"/>
        <v>■</v>
      </c>
      <c r="W20" s="166"/>
      <c r="X20" s="211" t="s">
        <v>133</v>
      </c>
      <c r="Y20" s="214" t="s">
        <v>134</v>
      </c>
      <c r="Z20" s="215">
        <v>46026</v>
      </c>
      <c r="AA20" s="215">
        <v>46386</v>
      </c>
      <c r="AB20" s="199" t="str">
        <f t="shared" ref="AB20:AK28" si="5">IF(AND($Z20&lt;=(AB$3+6),$AA20&gt;=AB$3),"■","")</f>
        <v>■</v>
      </c>
      <c r="AC20" s="199" t="str">
        <f t="shared" si="5"/>
        <v>■</v>
      </c>
      <c r="AD20" s="199" t="str">
        <f t="shared" si="5"/>
        <v>■</v>
      </c>
      <c r="AE20" s="199" t="str">
        <f t="shared" si="5"/>
        <v>■</v>
      </c>
      <c r="AF20" s="199" t="str">
        <f t="shared" si="5"/>
        <v>■</v>
      </c>
      <c r="AG20" s="199" t="str">
        <f t="shared" si="5"/>
        <v>■</v>
      </c>
      <c r="AH20" s="199" t="str">
        <f t="shared" si="5"/>
        <v>■</v>
      </c>
      <c r="AI20" s="199" t="str">
        <f t="shared" si="5"/>
        <v>■</v>
      </c>
      <c r="AJ20" s="199" t="str">
        <f t="shared" si="5"/>
        <v>■</v>
      </c>
      <c r="AK20" s="199" t="str">
        <f t="shared" si="5"/>
        <v>■</v>
      </c>
      <c r="AL20" s="199" t="str">
        <f t="shared" ref="AL20:AS28" si="6">IF(AND($Z20&lt;=(AL$3+6),$AA20&gt;=AL$3),"■","")</f>
        <v>■</v>
      </c>
      <c r="AM20" s="199" t="str">
        <f t="shared" si="6"/>
        <v>■</v>
      </c>
      <c r="AN20" s="199" t="str">
        <f t="shared" si="6"/>
        <v>■</v>
      </c>
      <c r="AO20" s="199" t="str">
        <f t="shared" si="6"/>
        <v>■</v>
      </c>
      <c r="AP20" s="199" t="str">
        <f t="shared" si="6"/>
        <v>■</v>
      </c>
      <c r="AQ20" s="199" t="str">
        <f t="shared" si="6"/>
        <v>■</v>
      </c>
      <c r="AR20" s="199" t="str">
        <f t="shared" si="6"/>
        <v>■</v>
      </c>
      <c r="AS20" s="177" t="str">
        <f t="shared" si="6"/>
        <v>■</v>
      </c>
      <c r="AT20" s="204" t="s">
        <v>49</v>
      </c>
      <c r="AU20" s="235">
        <v>182500</v>
      </c>
      <c r="AV20" s="235" t="s">
        <v>135</v>
      </c>
      <c r="AW20" s="205" t="s">
        <v>136</v>
      </c>
    </row>
    <row r="21" spans="1:49" ht="22.5" customHeight="1">
      <c r="A21" s="175" t="s">
        <v>20</v>
      </c>
      <c r="B21" s="169" t="s">
        <v>99</v>
      </c>
      <c r="C21" s="170">
        <v>46143</v>
      </c>
      <c r="D21" s="170">
        <v>46264</v>
      </c>
      <c r="E21" s="199" t="str">
        <f t="shared" si="3"/>
        <v>■</v>
      </c>
      <c r="F21" s="199" t="str">
        <f t="shared" si="3"/>
        <v>■</v>
      </c>
      <c r="G21" s="199" t="str">
        <f t="shared" si="3"/>
        <v>■</v>
      </c>
      <c r="H21" s="199" t="str">
        <f t="shared" si="3"/>
        <v>■</v>
      </c>
      <c r="I21" s="199" t="str">
        <f t="shared" si="3"/>
        <v>■</v>
      </c>
      <c r="J21" s="199" t="str">
        <f t="shared" si="3"/>
        <v>■</v>
      </c>
      <c r="K21" s="199" t="str">
        <f t="shared" si="3"/>
        <v>■</v>
      </c>
      <c r="L21" s="199" t="str">
        <f t="shared" si="3"/>
        <v>■</v>
      </c>
      <c r="M21" s="199" t="str">
        <f t="shared" si="3"/>
        <v>■</v>
      </c>
      <c r="N21" s="199" t="str">
        <f t="shared" si="3"/>
        <v>■</v>
      </c>
      <c r="O21" s="199" t="str">
        <f t="shared" si="4"/>
        <v>■</v>
      </c>
      <c r="P21" s="199" t="str">
        <f t="shared" si="4"/>
        <v>■</v>
      </c>
      <c r="Q21" s="199" t="str">
        <f t="shared" si="4"/>
        <v>■</v>
      </c>
      <c r="R21" s="199" t="str">
        <f t="shared" si="4"/>
        <v>■</v>
      </c>
      <c r="S21" s="199" t="str">
        <f t="shared" si="4"/>
        <v>■</v>
      </c>
      <c r="T21" s="199" t="str">
        <f t="shared" si="4"/>
        <v>■</v>
      </c>
      <c r="U21" s="199" t="str">
        <f t="shared" si="4"/>
        <v>■</v>
      </c>
      <c r="V21" s="177" t="str">
        <f t="shared" si="4"/>
        <v>■</v>
      </c>
      <c r="W21" s="166"/>
      <c r="X21" s="211" t="s">
        <v>133</v>
      </c>
      <c r="Y21" s="214" t="s">
        <v>137</v>
      </c>
      <c r="Z21" s="215">
        <v>46075</v>
      </c>
      <c r="AA21" s="215">
        <v>46325</v>
      </c>
      <c r="AB21" s="199" t="str">
        <f t="shared" si="5"/>
        <v>■</v>
      </c>
      <c r="AC21" s="199" t="str">
        <f t="shared" si="5"/>
        <v>■</v>
      </c>
      <c r="AD21" s="199" t="str">
        <f t="shared" si="5"/>
        <v>■</v>
      </c>
      <c r="AE21" s="199" t="str">
        <f t="shared" si="5"/>
        <v>■</v>
      </c>
      <c r="AF21" s="199" t="str">
        <f t="shared" si="5"/>
        <v>■</v>
      </c>
      <c r="AG21" s="199" t="str">
        <f t="shared" si="5"/>
        <v>■</v>
      </c>
      <c r="AH21" s="199" t="str">
        <f t="shared" si="5"/>
        <v>■</v>
      </c>
      <c r="AI21" s="199" t="str">
        <f t="shared" si="5"/>
        <v>■</v>
      </c>
      <c r="AJ21" s="199" t="str">
        <f t="shared" si="5"/>
        <v>■</v>
      </c>
      <c r="AK21" s="199" t="str">
        <f t="shared" si="5"/>
        <v>■</v>
      </c>
      <c r="AL21" s="199" t="str">
        <f t="shared" si="6"/>
        <v>■</v>
      </c>
      <c r="AM21" s="199" t="str">
        <f t="shared" si="6"/>
        <v>■</v>
      </c>
      <c r="AN21" s="199" t="str">
        <f t="shared" si="6"/>
        <v>■</v>
      </c>
      <c r="AO21" s="199" t="str">
        <f t="shared" si="6"/>
        <v>■</v>
      </c>
      <c r="AP21" s="199" t="str">
        <f t="shared" si="6"/>
        <v>■</v>
      </c>
      <c r="AQ21" s="199" t="str">
        <f t="shared" si="6"/>
        <v>■</v>
      </c>
      <c r="AR21" s="199" t="str">
        <f t="shared" si="6"/>
        <v>■</v>
      </c>
      <c r="AS21" s="177" t="str">
        <f t="shared" si="6"/>
        <v>■</v>
      </c>
      <c r="AT21" s="204" t="s">
        <v>138</v>
      </c>
      <c r="AU21" s="235">
        <v>190000</v>
      </c>
      <c r="AV21" s="235" t="s">
        <v>135</v>
      </c>
      <c r="AW21" s="205" t="s">
        <v>139</v>
      </c>
    </row>
    <row r="22" spans="1:49" ht="22.5" customHeight="1">
      <c r="A22" s="175" t="s">
        <v>20</v>
      </c>
      <c r="B22" s="169" t="s">
        <v>100</v>
      </c>
      <c r="C22" s="170">
        <v>46204</v>
      </c>
      <c r="D22" s="170">
        <v>46264</v>
      </c>
      <c r="E22" s="199" t="str">
        <f t="shared" si="3"/>
        <v/>
      </c>
      <c r="F22" s="199" t="str">
        <f t="shared" si="3"/>
        <v/>
      </c>
      <c r="G22" s="199" t="str">
        <f t="shared" si="3"/>
        <v/>
      </c>
      <c r="H22" s="199" t="str">
        <f t="shared" si="3"/>
        <v/>
      </c>
      <c r="I22" s="199" t="str">
        <f t="shared" si="3"/>
        <v/>
      </c>
      <c r="J22" s="199" t="str">
        <f t="shared" si="3"/>
        <v/>
      </c>
      <c r="K22" s="199" t="str">
        <f t="shared" si="3"/>
        <v/>
      </c>
      <c r="L22" s="199" t="str">
        <f t="shared" si="3"/>
        <v/>
      </c>
      <c r="M22" s="199" t="str">
        <f t="shared" si="3"/>
        <v/>
      </c>
      <c r="N22" s="199" t="str">
        <f t="shared" si="3"/>
        <v>■</v>
      </c>
      <c r="O22" s="199" t="str">
        <f t="shared" si="4"/>
        <v>■</v>
      </c>
      <c r="P22" s="199" t="str">
        <f t="shared" si="4"/>
        <v>■</v>
      </c>
      <c r="Q22" s="199" t="str">
        <f t="shared" si="4"/>
        <v>■</v>
      </c>
      <c r="R22" s="199" t="str">
        <f t="shared" si="4"/>
        <v>■</v>
      </c>
      <c r="S22" s="199" t="str">
        <f t="shared" si="4"/>
        <v>■</v>
      </c>
      <c r="T22" s="199" t="str">
        <f t="shared" si="4"/>
        <v>■</v>
      </c>
      <c r="U22" s="199" t="str">
        <f t="shared" si="4"/>
        <v>■</v>
      </c>
      <c r="V22" s="177" t="str">
        <f t="shared" si="4"/>
        <v>■</v>
      </c>
      <c r="W22" s="166"/>
      <c r="X22" s="211" t="s">
        <v>133</v>
      </c>
      <c r="Y22" s="214" t="s">
        <v>140</v>
      </c>
      <c r="Z22" s="215">
        <v>46118</v>
      </c>
      <c r="AA22" s="215">
        <v>46249</v>
      </c>
      <c r="AB22" s="199" t="str">
        <f t="shared" si="5"/>
        <v>■</v>
      </c>
      <c r="AC22" s="199" t="str">
        <f t="shared" si="5"/>
        <v>■</v>
      </c>
      <c r="AD22" s="199" t="str">
        <f t="shared" si="5"/>
        <v>■</v>
      </c>
      <c r="AE22" s="199" t="str">
        <f t="shared" si="5"/>
        <v>■</v>
      </c>
      <c r="AF22" s="199" t="str">
        <f t="shared" si="5"/>
        <v>■</v>
      </c>
      <c r="AG22" s="199" t="str">
        <f t="shared" si="5"/>
        <v>■</v>
      </c>
      <c r="AH22" s="199" t="str">
        <f t="shared" si="5"/>
        <v>■</v>
      </c>
      <c r="AI22" s="199" t="str">
        <f t="shared" si="5"/>
        <v>■</v>
      </c>
      <c r="AJ22" s="199" t="str">
        <f t="shared" si="5"/>
        <v>■</v>
      </c>
      <c r="AK22" s="199" t="str">
        <f t="shared" si="5"/>
        <v>■</v>
      </c>
      <c r="AL22" s="199" t="str">
        <f t="shared" si="6"/>
        <v>■</v>
      </c>
      <c r="AM22" s="199" t="str">
        <f t="shared" si="6"/>
        <v>■</v>
      </c>
      <c r="AN22" s="199" t="str">
        <f t="shared" si="6"/>
        <v>■</v>
      </c>
      <c r="AO22" s="199" t="str">
        <f t="shared" si="6"/>
        <v>■</v>
      </c>
      <c r="AP22" s="199" t="str">
        <f t="shared" si="6"/>
        <v>■</v>
      </c>
      <c r="AQ22" s="199" t="str">
        <f t="shared" si="6"/>
        <v>■</v>
      </c>
      <c r="AR22" s="199" t="str">
        <f t="shared" si="6"/>
        <v/>
      </c>
      <c r="AS22" s="177" t="str">
        <f t="shared" si="6"/>
        <v/>
      </c>
      <c r="AT22" s="204" t="s">
        <v>141</v>
      </c>
      <c r="AU22" s="235">
        <v>170000</v>
      </c>
      <c r="AV22" s="235" t="s">
        <v>142</v>
      </c>
      <c r="AW22" s="205" t="s">
        <v>143</v>
      </c>
    </row>
    <row r="23" spans="1:49" ht="22.5" customHeight="1">
      <c r="A23" s="175" t="s">
        <v>22</v>
      </c>
      <c r="B23" s="169" t="s">
        <v>97</v>
      </c>
      <c r="C23" s="170">
        <v>46143</v>
      </c>
      <c r="D23" s="170">
        <v>46264</v>
      </c>
      <c r="E23" s="171" t="str">
        <f t="shared" si="3"/>
        <v>■</v>
      </c>
      <c r="F23" s="171" t="str">
        <f t="shared" si="3"/>
        <v>■</v>
      </c>
      <c r="G23" s="171" t="str">
        <f t="shared" si="3"/>
        <v>■</v>
      </c>
      <c r="H23" s="171" t="str">
        <f t="shared" si="3"/>
        <v>■</v>
      </c>
      <c r="I23" s="171" t="str">
        <f t="shared" si="3"/>
        <v>■</v>
      </c>
      <c r="J23" s="171" t="str">
        <f t="shared" si="3"/>
        <v>■</v>
      </c>
      <c r="K23" s="171" t="str">
        <f t="shared" si="3"/>
        <v>■</v>
      </c>
      <c r="L23" s="171" t="str">
        <f t="shared" si="3"/>
        <v>■</v>
      </c>
      <c r="M23" s="171" t="str">
        <f t="shared" si="3"/>
        <v>■</v>
      </c>
      <c r="N23" s="171" t="str">
        <f t="shared" si="3"/>
        <v>■</v>
      </c>
      <c r="O23" s="171" t="str">
        <f t="shared" si="4"/>
        <v>■</v>
      </c>
      <c r="P23" s="171" t="str">
        <f t="shared" si="4"/>
        <v>■</v>
      </c>
      <c r="Q23" s="171" t="str">
        <f t="shared" si="4"/>
        <v>■</v>
      </c>
      <c r="R23" s="171" t="str">
        <f t="shared" si="4"/>
        <v>■</v>
      </c>
      <c r="S23" s="171" t="str">
        <f t="shared" si="4"/>
        <v>■</v>
      </c>
      <c r="T23" s="171" t="str">
        <f t="shared" si="4"/>
        <v>■</v>
      </c>
      <c r="U23" s="171" t="str">
        <f t="shared" si="4"/>
        <v>■</v>
      </c>
      <c r="V23" s="178" t="str">
        <f t="shared" si="4"/>
        <v>■</v>
      </c>
      <c r="W23" s="166"/>
      <c r="X23" s="211" t="s">
        <v>22</v>
      </c>
      <c r="Y23" s="214" t="s">
        <v>134</v>
      </c>
      <c r="Z23" s="216">
        <v>46026</v>
      </c>
      <c r="AA23" s="216">
        <v>46386</v>
      </c>
      <c r="AB23" s="171" t="str">
        <f t="shared" si="5"/>
        <v>■</v>
      </c>
      <c r="AC23" s="171" t="str">
        <f t="shared" si="5"/>
        <v>■</v>
      </c>
      <c r="AD23" s="171" t="str">
        <f t="shared" si="5"/>
        <v>■</v>
      </c>
      <c r="AE23" s="171" t="str">
        <f t="shared" si="5"/>
        <v>■</v>
      </c>
      <c r="AF23" s="171" t="str">
        <f t="shared" si="5"/>
        <v>■</v>
      </c>
      <c r="AG23" s="171" t="str">
        <f t="shared" si="5"/>
        <v>■</v>
      </c>
      <c r="AH23" s="171" t="str">
        <f t="shared" si="5"/>
        <v>■</v>
      </c>
      <c r="AI23" s="171" t="str">
        <f t="shared" si="5"/>
        <v>■</v>
      </c>
      <c r="AJ23" s="171" t="str">
        <f t="shared" si="5"/>
        <v>■</v>
      </c>
      <c r="AK23" s="171" t="str">
        <f t="shared" si="5"/>
        <v>■</v>
      </c>
      <c r="AL23" s="171" t="str">
        <f t="shared" si="6"/>
        <v>■</v>
      </c>
      <c r="AM23" s="171" t="str">
        <f t="shared" si="6"/>
        <v>■</v>
      </c>
      <c r="AN23" s="171" t="str">
        <f t="shared" si="6"/>
        <v>■</v>
      </c>
      <c r="AO23" s="171" t="str">
        <f t="shared" si="6"/>
        <v>■</v>
      </c>
      <c r="AP23" s="171" t="str">
        <f t="shared" si="6"/>
        <v>■</v>
      </c>
      <c r="AQ23" s="171" t="str">
        <f t="shared" si="6"/>
        <v>■</v>
      </c>
      <c r="AR23" s="171" t="str">
        <f t="shared" si="6"/>
        <v>■</v>
      </c>
      <c r="AS23" s="178" t="str">
        <f t="shared" si="6"/>
        <v>■</v>
      </c>
      <c r="AT23" s="204" t="s">
        <v>49</v>
      </c>
      <c r="AU23" s="235">
        <v>182500</v>
      </c>
      <c r="AV23" s="235" t="s">
        <v>135</v>
      </c>
      <c r="AW23" s="205" t="s">
        <v>136</v>
      </c>
    </row>
    <row r="24" spans="1:49" ht="22.5" customHeight="1">
      <c r="A24" s="175" t="s">
        <v>22</v>
      </c>
      <c r="B24" s="169" t="s">
        <v>99</v>
      </c>
      <c r="C24" s="170">
        <v>46143</v>
      </c>
      <c r="D24" s="170">
        <v>46264</v>
      </c>
      <c r="E24" s="171" t="str">
        <f t="shared" si="3"/>
        <v>■</v>
      </c>
      <c r="F24" s="171" t="str">
        <f t="shared" si="3"/>
        <v>■</v>
      </c>
      <c r="G24" s="171" t="str">
        <f t="shared" si="3"/>
        <v>■</v>
      </c>
      <c r="H24" s="171" t="str">
        <f t="shared" si="3"/>
        <v>■</v>
      </c>
      <c r="I24" s="171" t="str">
        <f t="shared" si="3"/>
        <v>■</v>
      </c>
      <c r="J24" s="171" t="str">
        <f t="shared" si="3"/>
        <v>■</v>
      </c>
      <c r="K24" s="171" t="str">
        <f t="shared" si="3"/>
        <v>■</v>
      </c>
      <c r="L24" s="171" t="str">
        <f t="shared" si="3"/>
        <v>■</v>
      </c>
      <c r="M24" s="171" t="str">
        <f t="shared" si="3"/>
        <v>■</v>
      </c>
      <c r="N24" s="171" t="str">
        <f t="shared" si="3"/>
        <v>■</v>
      </c>
      <c r="O24" s="171" t="str">
        <f t="shared" si="4"/>
        <v>■</v>
      </c>
      <c r="P24" s="171" t="str">
        <f t="shared" si="4"/>
        <v>■</v>
      </c>
      <c r="Q24" s="171" t="str">
        <f t="shared" si="4"/>
        <v>■</v>
      </c>
      <c r="R24" s="171" t="str">
        <f t="shared" si="4"/>
        <v>■</v>
      </c>
      <c r="S24" s="171" t="str">
        <f t="shared" si="4"/>
        <v>■</v>
      </c>
      <c r="T24" s="171" t="str">
        <f t="shared" si="4"/>
        <v>■</v>
      </c>
      <c r="U24" s="171" t="str">
        <f t="shared" si="4"/>
        <v>■</v>
      </c>
      <c r="V24" s="178" t="str">
        <f t="shared" si="4"/>
        <v>■</v>
      </c>
      <c r="W24" s="166"/>
      <c r="X24" s="211" t="s">
        <v>22</v>
      </c>
      <c r="Y24" s="214" t="s">
        <v>137</v>
      </c>
      <c r="Z24" s="216">
        <v>46075</v>
      </c>
      <c r="AA24" s="216">
        <v>46202</v>
      </c>
      <c r="AB24" s="171" t="str">
        <f t="shared" si="5"/>
        <v>■</v>
      </c>
      <c r="AC24" s="171" t="str">
        <f t="shared" si="5"/>
        <v>■</v>
      </c>
      <c r="AD24" s="171" t="str">
        <f t="shared" si="5"/>
        <v>■</v>
      </c>
      <c r="AE24" s="171" t="str">
        <f t="shared" si="5"/>
        <v>■</v>
      </c>
      <c r="AF24" s="171" t="str">
        <f t="shared" si="5"/>
        <v>■</v>
      </c>
      <c r="AG24" s="171" t="str">
        <f t="shared" si="5"/>
        <v>■</v>
      </c>
      <c r="AH24" s="171" t="str">
        <f t="shared" si="5"/>
        <v>■</v>
      </c>
      <c r="AI24" s="171" t="str">
        <f t="shared" si="5"/>
        <v>■</v>
      </c>
      <c r="AJ24" s="171" t="str">
        <f t="shared" si="5"/>
        <v>■</v>
      </c>
      <c r="AK24" s="171" t="str">
        <f t="shared" si="5"/>
        <v>■</v>
      </c>
      <c r="AL24" s="171" t="str">
        <f t="shared" si="6"/>
        <v/>
      </c>
      <c r="AM24" s="171" t="str">
        <f t="shared" si="6"/>
        <v/>
      </c>
      <c r="AN24" s="171" t="str">
        <f t="shared" si="6"/>
        <v/>
      </c>
      <c r="AO24" s="171" t="str">
        <f t="shared" si="6"/>
        <v/>
      </c>
      <c r="AP24" s="171" t="str">
        <f t="shared" si="6"/>
        <v/>
      </c>
      <c r="AQ24" s="171" t="str">
        <f t="shared" si="6"/>
        <v/>
      </c>
      <c r="AR24" s="171" t="str">
        <f t="shared" si="6"/>
        <v/>
      </c>
      <c r="AS24" s="178" t="str">
        <f t="shared" si="6"/>
        <v/>
      </c>
      <c r="AT24" s="204" t="s">
        <v>138</v>
      </c>
      <c r="AU24" s="235" t="s">
        <v>144</v>
      </c>
      <c r="AV24" s="235" t="s">
        <v>135</v>
      </c>
      <c r="AW24" s="205" t="s">
        <v>145</v>
      </c>
    </row>
    <row r="25" spans="1:49" ht="22.5" customHeight="1">
      <c r="A25" s="175" t="s">
        <v>22</v>
      </c>
      <c r="B25" s="169" t="s">
        <v>100</v>
      </c>
      <c r="C25" s="170">
        <v>46204</v>
      </c>
      <c r="D25" s="170">
        <v>46264</v>
      </c>
      <c r="E25" s="171" t="str">
        <f t="shared" si="3"/>
        <v/>
      </c>
      <c r="F25" s="171" t="str">
        <f t="shared" si="3"/>
        <v/>
      </c>
      <c r="G25" s="171" t="str">
        <f t="shared" si="3"/>
        <v/>
      </c>
      <c r="H25" s="171" t="str">
        <f t="shared" si="3"/>
        <v/>
      </c>
      <c r="I25" s="171" t="str">
        <f t="shared" si="3"/>
        <v/>
      </c>
      <c r="J25" s="171" t="str">
        <f t="shared" si="3"/>
        <v/>
      </c>
      <c r="K25" s="171" t="str">
        <f t="shared" si="3"/>
        <v/>
      </c>
      <c r="L25" s="171" t="str">
        <f t="shared" si="3"/>
        <v/>
      </c>
      <c r="M25" s="171" t="str">
        <f t="shared" si="3"/>
        <v/>
      </c>
      <c r="N25" s="171" t="str">
        <f t="shared" si="3"/>
        <v>■</v>
      </c>
      <c r="O25" s="171" t="str">
        <f t="shared" si="4"/>
        <v>■</v>
      </c>
      <c r="P25" s="171" t="str">
        <f t="shared" si="4"/>
        <v>■</v>
      </c>
      <c r="Q25" s="171" t="str">
        <f t="shared" si="4"/>
        <v>■</v>
      </c>
      <c r="R25" s="171" t="str">
        <f t="shared" si="4"/>
        <v>■</v>
      </c>
      <c r="S25" s="171" t="str">
        <f t="shared" si="4"/>
        <v>■</v>
      </c>
      <c r="T25" s="171" t="str">
        <f t="shared" si="4"/>
        <v>■</v>
      </c>
      <c r="U25" s="171" t="str">
        <f t="shared" si="4"/>
        <v>■</v>
      </c>
      <c r="V25" s="178" t="str">
        <f t="shared" si="4"/>
        <v>■</v>
      </c>
      <c r="W25" s="166"/>
      <c r="X25" s="211" t="s">
        <v>22</v>
      </c>
      <c r="Y25" s="214" t="s">
        <v>146</v>
      </c>
      <c r="Z25" s="216">
        <v>46159</v>
      </c>
      <c r="AA25" s="216">
        <v>46200</v>
      </c>
      <c r="AB25" s="171" t="str">
        <f t="shared" si="5"/>
        <v/>
      </c>
      <c r="AC25" s="171" t="str">
        <f t="shared" si="5"/>
        <v/>
      </c>
      <c r="AD25" s="171" t="str">
        <f t="shared" si="5"/>
        <v>■</v>
      </c>
      <c r="AE25" s="171" t="str">
        <f t="shared" si="5"/>
        <v>■</v>
      </c>
      <c r="AF25" s="171" t="str">
        <f t="shared" si="5"/>
        <v>■</v>
      </c>
      <c r="AG25" s="171" t="str">
        <f t="shared" si="5"/>
        <v>■</v>
      </c>
      <c r="AH25" s="171" t="str">
        <f t="shared" si="5"/>
        <v>■</v>
      </c>
      <c r="AI25" s="171" t="str">
        <f t="shared" si="5"/>
        <v>■</v>
      </c>
      <c r="AJ25" s="171" t="str">
        <f t="shared" si="5"/>
        <v>■</v>
      </c>
      <c r="AK25" s="171" t="str">
        <f t="shared" si="5"/>
        <v/>
      </c>
      <c r="AL25" s="171" t="str">
        <f t="shared" si="6"/>
        <v/>
      </c>
      <c r="AM25" s="171" t="str">
        <f t="shared" si="6"/>
        <v/>
      </c>
      <c r="AN25" s="171" t="str">
        <f t="shared" si="6"/>
        <v/>
      </c>
      <c r="AO25" s="171" t="str">
        <f t="shared" si="6"/>
        <v/>
      </c>
      <c r="AP25" s="171" t="str">
        <f t="shared" si="6"/>
        <v/>
      </c>
      <c r="AQ25" s="171" t="str">
        <f t="shared" si="6"/>
        <v/>
      </c>
      <c r="AR25" s="171" t="str">
        <f t="shared" si="6"/>
        <v/>
      </c>
      <c r="AS25" s="178" t="str">
        <f t="shared" si="6"/>
        <v/>
      </c>
      <c r="AT25" s="204" t="s">
        <v>138</v>
      </c>
      <c r="AU25" s="235">
        <v>70000</v>
      </c>
      <c r="AV25" s="235" t="s">
        <v>147</v>
      </c>
      <c r="AW25" s="205" t="s">
        <v>148</v>
      </c>
    </row>
    <row r="26" spans="1:49" ht="22.5" customHeight="1">
      <c r="A26" s="175" t="s">
        <v>28</v>
      </c>
      <c r="B26" s="169" t="s">
        <v>97</v>
      </c>
      <c r="C26" s="170">
        <v>46143</v>
      </c>
      <c r="D26" s="170">
        <v>46264</v>
      </c>
      <c r="E26" s="200" t="str">
        <f t="shared" si="3"/>
        <v>■</v>
      </c>
      <c r="F26" s="200" t="str">
        <f t="shared" si="3"/>
        <v>■</v>
      </c>
      <c r="G26" s="200" t="str">
        <f t="shared" si="3"/>
        <v>■</v>
      </c>
      <c r="H26" s="200" t="str">
        <f t="shared" si="3"/>
        <v>■</v>
      </c>
      <c r="I26" s="200" t="str">
        <f t="shared" si="3"/>
        <v>■</v>
      </c>
      <c r="J26" s="200" t="str">
        <f t="shared" si="3"/>
        <v>■</v>
      </c>
      <c r="K26" s="200" t="str">
        <f t="shared" si="3"/>
        <v>■</v>
      </c>
      <c r="L26" s="200" t="str">
        <f t="shared" si="3"/>
        <v>■</v>
      </c>
      <c r="M26" s="200" t="str">
        <f t="shared" si="3"/>
        <v>■</v>
      </c>
      <c r="N26" s="200" t="str">
        <f t="shared" si="3"/>
        <v>■</v>
      </c>
      <c r="O26" s="200" t="str">
        <f t="shared" si="4"/>
        <v>■</v>
      </c>
      <c r="P26" s="200" t="str">
        <f t="shared" si="4"/>
        <v>■</v>
      </c>
      <c r="Q26" s="200" t="str">
        <f t="shared" si="4"/>
        <v>■</v>
      </c>
      <c r="R26" s="200" t="str">
        <f t="shared" si="4"/>
        <v>■</v>
      </c>
      <c r="S26" s="200" t="str">
        <f t="shared" si="4"/>
        <v>■</v>
      </c>
      <c r="T26" s="200" t="str">
        <f t="shared" si="4"/>
        <v>■</v>
      </c>
      <c r="U26" s="200" t="str">
        <f t="shared" si="4"/>
        <v>■</v>
      </c>
      <c r="V26" s="179" t="str">
        <f t="shared" si="4"/>
        <v>■</v>
      </c>
      <c r="W26" s="166"/>
      <c r="X26" s="211" t="s">
        <v>28</v>
      </c>
      <c r="Y26" s="214" t="s">
        <v>134</v>
      </c>
      <c r="Z26" s="217">
        <v>46026</v>
      </c>
      <c r="AA26" s="217">
        <v>46386</v>
      </c>
      <c r="AB26" s="200" t="str">
        <f t="shared" si="5"/>
        <v>■</v>
      </c>
      <c r="AC26" s="200" t="str">
        <f t="shared" si="5"/>
        <v>■</v>
      </c>
      <c r="AD26" s="200" t="str">
        <f t="shared" si="5"/>
        <v>■</v>
      </c>
      <c r="AE26" s="200" t="str">
        <f t="shared" si="5"/>
        <v>■</v>
      </c>
      <c r="AF26" s="200" t="str">
        <f t="shared" si="5"/>
        <v>■</v>
      </c>
      <c r="AG26" s="200" t="str">
        <f t="shared" si="5"/>
        <v>■</v>
      </c>
      <c r="AH26" s="200" t="str">
        <f t="shared" si="5"/>
        <v>■</v>
      </c>
      <c r="AI26" s="200" t="str">
        <f t="shared" si="5"/>
        <v>■</v>
      </c>
      <c r="AJ26" s="200" t="str">
        <f t="shared" si="5"/>
        <v>■</v>
      </c>
      <c r="AK26" s="200" t="str">
        <f t="shared" si="5"/>
        <v>■</v>
      </c>
      <c r="AL26" s="200" t="str">
        <f t="shared" si="6"/>
        <v>■</v>
      </c>
      <c r="AM26" s="200" t="str">
        <f t="shared" si="6"/>
        <v>■</v>
      </c>
      <c r="AN26" s="200" t="str">
        <f t="shared" si="6"/>
        <v>■</v>
      </c>
      <c r="AO26" s="200" t="str">
        <f t="shared" si="6"/>
        <v>■</v>
      </c>
      <c r="AP26" s="200" t="str">
        <f t="shared" si="6"/>
        <v>■</v>
      </c>
      <c r="AQ26" s="200" t="str">
        <f t="shared" si="6"/>
        <v>■</v>
      </c>
      <c r="AR26" s="200" t="str">
        <f t="shared" si="6"/>
        <v>■</v>
      </c>
      <c r="AS26" s="179" t="str">
        <f t="shared" si="6"/>
        <v>■</v>
      </c>
      <c r="AT26" s="204" t="s">
        <v>49</v>
      </c>
      <c r="AU26" s="235">
        <v>146000</v>
      </c>
      <c r="AV26" s="235" t="s">
        <v>135</v>
      </c>
      <c r="AW26" s="205" t="s">
        <v>136</v>
      </c>
    </row>
    <row r="27" spans="1:49" ht="22.5" customHeight="1">
      <c r="A27" s="175" t="s">
        <v>28</v>
      </c>
      <c r="B27" s="169" t="s">
        <v>99</v>
      </c>
      <c r="C27" s="170">
        <v>46204</v>
      </c>
      <c r="D27" s="170">
        <v>46264</v>
      </c>
      <c r="E27" s="200" t="str">
        <f t="shared" si="3"/>
        <v/>
      </c>
      <c r="F27" s="200" t="str">
        <f t="shared" si="3"/>
        <v/>
      </c>
      <c r="G27" s="200" t="str">
        <f t="shared" si="3"/>
        <v/>
      </c>
      <c r="H27" s="200" t="str">
        <f t="shared" si="3"/>
        <v/>
      </c>
      <c r="I27" s="200" t="str">
        <f t="shared" si="3"/>
        <v/>
      </c>
      <c r="J27" s="200" t="str">
        <f t="shared" si="3"/>
        <v/>
      </c>
      <c r="K27" s="200" t="str">
        <f t="shared" si="3"/>
        <v/>
      </c>
      <c r="L27" s="200" t="str">
        <f t="shared" si="3"/>
        <v/>
      </c>
      <c r="M27" s="200" t="str">
        <f t="shared" si="3"/>
        <v/>
      </c>
      <c r="N27" s="200" t="str">
        <f t="shared" si="3"/>
        <v>■</v>
      </c>
      <c r="O27" s="200" t="str">
        <f t="shared" si="4"/>
        <v>■</v>
      </c>
      <c r="P27" s="200" t="str">
        <f t="shared" si="4"/>
        <v>■</v>
      </c>
      <c r="Q27" s="200" t="str">
        <f t="shared" si="4"/>
        <v>■</v>
      </c>
      <c r="R27" s="200" t="str">
        <f t="shared" si="4"/>
        <v>■</v>
      </c>
      <c r="S27" s="200" t="str">
        <f t="shared" si="4"/>
        <v>■</v>
      </c>
      <c r="T27" s="200" t="str">
        <f t="shared" si="4"/>
        <v>■</v>
      </c>
      <c r="U27" s="200" t="str">
        <f t="shared" si="4"/>
        <v>■</v>
      </c>
      <c r="V27" s="179" t="str">
        <f t="shared" si="4"/>
        <v>■</v>
      </c>
      <c r="W27" s="166"/>
      <c r="X27" s="211" t="s">
        <v>28</v>
      </c>
      <c r="Y27" s="214" t="s">
        <v>137</v>
      </c>
      <c r="Z27" s="217">
        <v>46075</v>
      </c>
      <c r="AA27" s="217">
        <v>46325</v>
      </c>
      <c r="AB27" s="200" t="str">
        <f t="shared" si="5"/>
        <v>■</v>
      </c>
      <c r="AC27" s="200" t="str">
        <f t="shared" si="5"/>
        <v>■</v>
      </c>
      <c r="AD27" s="200" t="str">
        <f t="shared" si="5"/>
        <v>■</v>
      </c>
      <c r="AE27" s="200" t="str">
        <f t="shared" si="5"/>
        <v>■</v>
      </c>
      <c r="AF27" s="200" t="str">
        <f t="shared" si="5"/>
        <v>■</v>
      </c>
      <c r="AG27" s="200" t="str">
        <f t="shared" si="5"/>
        <v>■</v>
      </c>
      <c r="AH27" s="200" t="str">
        <f t="shared" si="5"/>
        <v>■</v>
      </c>
      <c r="AI27" s="200" t="str">
        <f t="shared" si="5"/>
        <v>■</v>
      </c>
      <c r="AJ27" s="200" t="str">
        <f t="shared" si="5"/>
        <v>■</v>
      </c>
      <c r="AK27" s="200" t="str">
        <f t="shared" si="5"/>
        <v>■</v>
      </c>
      <c r="AL27" s="200" t="str">
        <f t="shared" si="6"/>
        <v>■</v>
      </c>
      <c r="AM27" s="200" t="str">
        <f t="shared" si="6"/>
        <v>■</v>
      </c>
      <c r="AN27" s="200" t="str">
        <f t="shared" si="6"/>
        <v>■</v>
      </c>
      <c r="AO27" s="200" t="str">
        <f t="shared" si="6"/>
        <v>■</v>
      </c>
      <c r="AP27" s="200" t="str">
        <f t="shared" si="6"/>
        <v>■</v>
      </c>
      <c r="AQ27" s="200" t="str">
        <f t="shared" si="6"/>
        <v>■</v>
      </c>
      <c r="AR27" s="200" t="str">
        <f t="shared" si="6"/>
        <v>■</v>
      </c>
      <c r="AS27" s="179" t="str">
        <f t="shared" si="6"/>
        <v>■</v>
      </c>
      <c r="AT27" s="204" t="s">
        <v>138</v>
      </c>
      <c r="AU27" s="235">
        <v>190000</v>
      </c>
      <c r="AV27" s="235" t="s">
        <v>135</v>
      </c>
      <c r="AW27" s="205" t="s">
        <v>149</v>
      </c>
    </row>
    <row r="28" spans="1:49" ht="22.5" customHeight="1">
      <c r="A28" s="176" t="s">
        <v>28</v>
      </c>
      <c r="B28" s="172" t="s">
        <v>100</v>
      </c>
      <c r="C28" s="173">
        <v>46204</v>
      </c>
      <c r="D28" s="173">
        <v>46264</v>
      </c>
      <c r="E28" s="174" t="str">
        <f t="shared" si="3"/>
        <v/>
      </c>
      <c r="F28" s="174" t="str">
        <f t="shared" si="3"/>
        <v/>
      </c>
      <c r="G28" s="174" t="str">
        <f t="shared" si="3"/>
        <v/>
      </c>
      <c r="H28" s="174" t="str">
        <f t="shared" si="3"/>
        <v/>
      </c>
      <c r="I28" s="174" t="str">
        <f t="shared" si="3"/>
        <v/>
      </c>
      <c r="J28" s="174" t="str">
        <f t="shared" si="3"/>
        <v/>
      </c>
      <c r="K28" s="174" t="str">
        <f t="shared" si="3"/>
        <v/>
      </c>
      <c r="L28" s="174" t="str">
        <f t="shared" si="3"/>
        <v/>
      </c>
      <c r="M28" s="174" t="str">
        <f t="shared" si="3"/>
        <v/>
      </c>
      <c r="N28" s="174" t="str">
        <f t="shared" si="3"/>
        <v>■</v>
      </c>
      <c r="O28" s="174" t="str">
        <f t="shared" si="4"/>
        <v>■</v>
      </c>
      <c r="P28" s="174" t="str">
        <f t="shared" si="4"/>
        <v>■</v>
      </c>
      <c r="Q28" s="174" t="str">
        <f t="shared" si="4"/>
        <v>■</v>
      </c>
      <c r="R28" s="174" t="str">
        <f t="shared" si="4"/>
        <v>■</v>
      </c>
      <c r="S28" s="174" t="str">
        <f t="shared" si="4"/>
        <v>■</v>
      </c>
      <c r="T28" s="174" t="str">
        <f t="shared" si="4"/>
        <v>■</v>
      </c>
      <c r="U28" s="174" t="str">
        <f t="shared" si="4"/>
        <v>■</v>
      </c>
      <c r="V28" s="180" t="str">
        <f t="shared" si="4"/>
        <v>■</v>
      </c>
      <c r="W28" s="166"/>
      <c r="X28" s="212" t="s">
        <v>28</v>
      </c>
      <c r="Y28" s="213" t="s">
        <v>146</v>
      </c>
      <c r="Z28" s="218">
        <v>46159</v>
      </c>
      <c r="AA28" s="218">
        <v>46200</v>
      </c>
      <c r="AB28" s="174" t="str">
        <f t="shared" si="5"/>
        <v/>
      </c>
      <c r="AC28" s="174" t="str">
        <f t="shared" si="5"/>
        <v/>
      </c>
      <c r="AD28" s="174" t="str">
        <f t="shared" si="5"/>
        <v>■</v>
      </c>
      <c r="AE28" s="174" t="str">
        <f t="shared" si="5"/>
        <v>■</v>
      </c>
      <c r="AF28" s="174" t="str">
        <f t="shared" si="5"/>
        <v>■</v>
      </c>
      <c r="AG28" s="174" t="str">
        <f t="shared" si="5"/>
        <v>■</v>
      </c>
      <c r="AH28" s="174" t="str">
        <f t="shared" si="5"/>
        <v>■</v>
      </c>
      <c r="AI28" s="174" t="str">
        <f t="shared" si="5"/>
        <v>■</v>
      </c>
      <c r="AJ28" s="174" t="str">
        <f t="shared" si="5"/>
        <v>■</v>
      </c>
      <c r="AK28" s="174" t="str">
        <f t="shared" si="5"/>
        <v/>
      </c>
      <c r="AL28" s="174" t="str">
        <f t="shared" si="6"/>
        <v/>
      </c>
      <c r="AM28" s="174" t="str">
        <f t="shared" si="6"/>
        <v/>
      </c>
      <c r="AN28" s="174" t="str">
        <f t="shared" si="6"/>
        <v/>
      </c>
      <c r="AO28" s="174" t="str">
        <f t="shared" si="6"/>
        <v/>
      </c>
      <c r="AP28" s="174" t="str">
        <f t="shared" si="6"/>
        <v/>
      </c>
      <c r="AQ28" s="174" t="str">
        <f t="shared" si="6"/>
        <v/>
      </c>
      <c r="AR28" s="174" t="str">
        <f t="shared" si="6"/>
        <v/>
      </c>
      <c r="AS28" s="180" t="str">
        <f t="shared" si="6"/>
        <v/>
      </c>
      <c r="AT28" s="206" t="s">
        <v>138</v>
      </c>
      <c r="AU28" s="207">
        <v>70000</v>
      </c>
      <c r="AV28" s="207" t="s">
        <v>147</v>
      </c>
      <c r="AW28" s="239" t="s">
        <v>148</v>
      </c>
    </row>
    <row r="29" spans="1:49" s="208" customFormat="1" ht="22.5" customHeight="1">
      <c r="A29" s="292" t="s">
        <v>150</v>
      </c>
      <c r="B29" s="292"/>
      <c r="C29" s="292"/>
      <c r="D29" s="292"/>
      <c r="E29" s="292"/>
      <c r="F29" s="292"/>
      <c r="G29" s="292"/>
      <c r="H29" s="292"/>
      <c r="I29" s="292"/>
      <c r="J29" s="292"/>
      <c r="K29" s="292"/>
      <c r="L29" s="292"/>
      <c r="M29" s="292"/>
      <c r="N29" s="292"/>
      <c r="O29" s="292"/>
      <c r="P29" s="292"/>
      <c r="Q29" s="292"/>
      <c r="R29" s="292"/>
      <c r="S29" s="292"/>
      <c r="T29" s="292"/>
      <c r="U29" s="292"/>
      <c r="V29" s="292"/>
      <c r="X29" s="295" t="s">
        <v>151</v>
      </c>
      <c r="Y29" s="295"/>
      <c r="Z29" s="295"/>
      <c r="AA29" s="295"/>
      <c r="AB29" s="295"/>
      <c r="AC29" s="295"/>
      <c r="AD29" s="295"/>
      <c r="AE29" s="295"/>
      <c r="AF29" s="295"/>
      <c r="AG29" s="295"/>
      <c r="AH29" s="295"/>
      <c r="AI29" s="295"/>
      <c r="AJ29" s="295"/>
      <c r="AK29" s="295"/>
      <c r="AL29" s="295"/>
      <c r="AM29" s="295"/>
      <c r="AN29" s="295"/>
      <c r="AO29" s="295"/>
      <c r="AP29" s="295"/>
      <c r="AQ29" s="295"/>
      <c r="AR29" s="295"/>
      <c r="AS29" s="295"/>
      <c r="AT29" s="237"/>
      <c r="AU29" s="237"/>
      <c r="AV29" s="237"/>
      <c r="AW29" s="198"/>
    </row>
    <row r="30" spans="1:49" s="208" customFormat="1" ht="22.5" customHeight="1">
      <c r="A30" s="186" t="s">
        <v>105</v>
      </c>
      <c r="B30" s="187" t="s">
        <v>106</v>
      </c>
      <c r="C30" s="181" t="s">
        <v>95</v>
      </c>
      <c r="D30" s="181" t="s">
        <v>96</v>
      </c>
      <c r="E30" s="184" t="s">
        <v>107</v>
      </c>
      <c r="F30" s="184" t="s">
        <v>108</v>
      </c>
      <c r="G30" s="184" t="s">
        <v>109</v>
      </c>
      <c r="H30" s="184" t="s">
        <v>110</v>
      </c>
      <c r="I30" s="184" t="s">
        <v>111</v>
      </c>
      <c r="J30" s="184" t="s">
        <v>112</v>
      </c>
      <c r="K30" s="184" t="s">
        <v>113</v>
      </c>
      <c r="L30" s="184" t="s">
        <v>114</v>
      </c>
      <c r="M30" s="184" t="s">
        <v>115</v>
      </c>
      <c r="N30" s="184" t="s">
        <v>116</v>
      </c>
      <c r="O30" s="184" t="s">
        <v>117</v>
      </c>
      <c r="P30" s="184" t="s">
        <v>118</v>
      </c>
      <c r="Q30" s="184" t="s">
        <v>119</v>
      </c>
      <c r="R30" s="184" t="s">
        <v>120</v>
      </c>
      <c r="S30" s="184" t="s">
        <v>121</v>
      </c>
      <c r="T30" s="184" t="s">
        <v>122</v>
      </c>
      <c r="U30" s="184" t="s">
        <v>123</v>
      </c>
      <c r="V30" s="185" t="s">
        <v>124</v>
      </c>
      <c r="X30" s="219" t="s">
        <v>105</v>
      </c>
      <c r="Y30" s="220" t="s">
        <v>125</v>
      </c>
      <c r="Z30" s="184" t="s">
        <v>95</v>
      </c>
      <c r="AA30" s="184" t="s">
        <v>96</v>
      </c>
      <c r="AB30" s="184" t="s">
        <v>107</v>
      </c>
      <c r="AC30" s="184" t="s">
        <v>108</v>
      </c>
      <c r="AD30" s="184" t="s">
        <v>109</v>
      </c>
      <c r="AE30" s="184" t="s">
        <v>110</v>
      </c>
      <c r="AF30" s="184" t="s">
        <v>111</v>
      </c>
      <c r="AG30" s="184" t="s">
        <v>112</v>
      </c>
      <c r="AH30" s="184" t="s">
        <v>113</v>
      </c>
      <c r="AI30" s="184" t="s">
        <v>114</v>
      </c>
      <c r="AJ30" s="184" t="s">
        <v>115</v>
      </c>
      <c r="AK30" s="184" t="s">
        <v>116</v>
      </c>
      <c r="AL30" s="184" t="s">
        <v>117</v>
      </c>
      <c r="AM30" s="184" t="s">
        <v>118</v>
      </c>
      <c r="AN30" s="184" t="s">
        <v>119</v>
      </c>
      <c r="AO30" s="184" t="s">
        <v>120</v>
      </c>
      <c r="AP30" s="184" t="s">
        <v>121</v>
      </c>
      <c r="AQ30" s="184" t="s">
        <v>122</v>
      </c>
      <c r="AR30" s="184" t="s">
        <v>123</v>
      </c>
      <c r="AS30" s="185" t="s">
        <v>124</v>
      </c>
      <c r="AT30" s="202" t="s">
        <v>126</v>
      </c>
      <c r="AU30" s="201" t="s">
        <v>127</v>
      </c>
      <c r="AV30" s="201" t="s">
        <v>128</v>
      </c>
      <c r="AW30" s="203" t="s">
        <v>129</v>
      </c>
    </row>
    <row r="31" spans="1:49" ht="22.5" customHeight="1">
      <c r="A31" s="175" t="s">
        <v>20</v>
      </c>
      <c r="B31" s="169" t="s">
        <v>97</v>
      </c>
      <c r="C31" s="170">
        <v>46143</v>
      </c>
      <c r="D31" s="170">
        <v>46264</v>
      </c>
      <c r="E31" s="199" t="str">
        <f t="shared" ref="E31:N42" si="7">IFERROR(IF(OR($A31="",$A31="Model",LEFT($A31,5)="Markt"),"",IF(AND($C31&lt;=E$3+6,$D31&gt;=E$3),"■","")),"")</f>
        <v>■</v>
      </c>
      <c r="F31" s="199" t="str">
        <f t="shared" si="7"/>
        <v>■</v>
      </c>
      <c r="G31" s="199" t="str">
        <f t="shared" si="7"/>
        <v>■</v>
      </c>
      <c r="H31" s="199" t="str">
        <f t="shared" si="7"/>
        <v>■</v>
      </c>
      <c r="I31" s="199" t="str">
        <f t="shared" si="7"/>
        <v>■</v>
      </c>
      <c r="J31" s="199" t="str">
        <f t="shared" si="7"/>
        <v>■</v>
      </c>
      <c r="K31" s="199" t="str">
        <f t="shared" si="7"/>
        <v>■</v>
      </c>
      <c r="L31" s="199" t="str">
        <f t="shared" si="7"/>
        <v>■</v>
      </c>
      <c r="M31" s="199" t="str">
        <f t="shared" si="7"/>
        <v>■</v>
      </c>
      <c r="N31" s="199" t="str">
        <f t="shared" si="7"/>
        <v>■</v>
      </c>
      <c r="O31" s="199" t="str">
        <f t="shared" ref="O31:V42" si="8">IFERROR(IF(OR($A31="",$A31="Model",LEFT($A31,5)="Markt"),"",IF(AND($C31&lt;=O$3+6,$D31&gt;=O$3),"■","")),"")</f>
        <v>■</v>
      </c>
      <c r="P31" s="199" t="str">
        <f t="shared" si="8"/>
        <v>■</v>
      </c>
      <c r="Q31" s="199" t="str">
        <f t="shared" si="8"/>
        <v>■</v>
      </c>
      <c r="R31" s="199" t="str">
        <f t="shared" si="8"/>
        <v>■</v>
      </c>
      <c r="S31" s="199" t="str">
        <f t="shared" si="8"/>
        <v>■</v>
      </c>
      <c r="T31" s="199" t="str">
        <f t="shared" si="8"/>
        <v>■</v>
      </c>
      <c r="U31" s="199" t="str">
        <f t="shared" si="8"/>
        <v>■</v>
      </c>
      <c r="V31" s="177" t="str">
        <f t="shared" si="8"/>
        <v>■</v>
      </c>
      <c r="W31" s="166"/>
      <c r="X31" s="253" t="s">
        <v>133</v>
      </c>
      <c r="Y31" s="254" t="s">
        <v>152</v>
      </c>
      <c r="Z31" s="255">
        <v>46165.916666666672</v>
      </c>
      <c r="AA31" s="255">
        <v>46202.916666666672</v>
      </c>
      <c r="AB31" s="261" t="str">
        <f t="shared" ref="AB31:AS31" si="9">IF(AND($Z31&lt;=(AB$3+6),$AA31&gt;=AB$3),"■","")</f>
        <v/>
      </c>
      <c r="AC31" s="261" t="str">
        <f t="shared" si="9"/>
        <v/>
      </c>
      <c r="AD31" s="261" t="str">
        <f t="shared" si="9"/>
        <v/>
      </c>
      <c r="AE31" s="199" t="str">
        <f t="shared" si="9"/>
        <v>■</v>
      </c>
      <c r="AF31" s="199" t="str">
        <f t="shared" si="9"/>
        <v>■</v>
      </c>
      <c r="AG31" s="199" t="str">
        <f t="shared" si="9"/>
        <v>■</v>
      </c>
      <c r="AH31" s="199" t="str">
        <f t="shared" si="9"/>
        <v>■</v>
      </c>
      <c r="AI31" s="199" t="str">
        <f t="shared" si="9"/>
        <v>■</v>
      </c>
      <c r="AJ31" s="199" t="str">
        <f t="shared" si="9"/>
        <v>■</v>
      </c>
      <c r="AK31" s="199" t="str">
        <f t="shared" si="9"/>
        <v>■</v>
      </c>
      <c r="AL31" s="261" t="str">
        <f t="shared" si="9"/>
        <v/>
      </c>
      <c r="AM31" s="261" t="str">
        <f t="shared" si="9"/>
        <v/>
      </c>
      <c r="AN31" s="261" t="str">
        <f t="shared" si="9"/>
        <v/>
      </c>
      <c r="AO31" s="261" t="str">
        <f t="shared" si="9"/>
        <v/>
      </c>
      <c r="AP31" s="261" t="str">
        <f t="shared" si="9"/>
        <v/>
      </c>
      <c r="AQ31" s="261" t="str">
        <f t="shared" si="9"/>
        <v/>
      </c>
      <c r="AR31" s="261" t="str">
        <f t="shared" si="9"/>
        <v/>
      </c>
      <c r="AS31" s="262" t="str">
        <f t="shared" si="9"/>
        <v/>
      </c>
      <c r="AT31" s="204" t="s">
        <v>153</v>
      </c>
      <c r="AU31" s="235" t="s">
        <v>154</v>
      </c>
      <c r="AV31" s="235" t="s">
        <v>155</v>
      </c>
      <c r="AW31" s="205" t="s">
        <v>156</v>
      </c>
    </row>
    <row r="32" spans="1:49" ht="22.5" customHeight="1">
      <c r="A32" s="175" t="s">
        <v>20</v>
      </c>
      <c r="B32" s="169" t="s">
        <v>98</v>
      </c>
      <c r="C32" s="170">
        <v>46143</v>
      </c>
      <c r="D32" s="170">
        <v>46264</v>
      </c>
      <c r="E32" s="199" t="str">
        <f t="shared" si="7"/>
        <v>■</v>
      </c>
      <c r="F32" s="199" t="str">
        <f t="shared" si="7"/>
        <v>■</v>
      </c>
      <c r="G32" s="199" t="str">
        <f t="shared" si="7"/>
        <v>■</v>
      </c>
      <c r="H32" s="199" t="str">
        <f t="shared" si="7"/>
        <v>■</v>
      </c>
      <c r="I32" s="199" t="str">
        <f t="shared" si="7"/>
        <v>■</v>
      </c>
      <c r="J32" s="199" t="str">
        <f t="shared" si="7"/>
        <v>■</v>
      </c>
      <c r="K32" s="199" t="str">
        <f t="shared" si="7"/>
        <v>■</v>
      </c>
      <c r="L32" s="199" t="str">
        <f t="shared" si="7"/>
        <v>■</v>
      </c>
      <c r="M32" s="199" t="str">
        <f t="shared" si="7"/>
        <v>■</v>
      </c>
      <c r="N32" s="199" t="str">
        <f t="shared" si="7"/>
        <v>■</v>
      </c>
      <c r="O32" s="199" t="str">
        <f t="shared" si="8"/>
        <v>■</v>
      </c>
      <c r="P32" s="199" t="str">
        <f t="shared" si="8"/>
        <v>■</v>
      </c>
      <c r="Q32" s="199" t="str">
        <f t="shared" si="8"/>
        <v>■</v>
      </c>
      <c r="R32" s="199" t="str">
        <f t="shared" si="8"/>
        <v>■</v>
      </c>
      <c r="S32" s="199" t="str">
        <f t="shared" si="8"/>
        <v>■</v>
      </c>
      <c r="T32" s="199" t="str">
        <f t="shared" si="8"/>
        <v>■</v>
      </c>
      <c r="U32" s="199" t="str">
        <f t="shared" si="8"/>
        <v>■</v>
      </c>
      <c r="V32" s="177" t="str">
        <f t="shared" si="8"/>
        <v>■</v>
      </c>
      <c r="W32" s="166"/>
      <c r="X32" s="256" t="s">
        <v>28</v>
      </c>
      <c r="Y32" s="252" t="s">
        <v>157</v>
      </c>
      <c r="Z32" s="257">
        <v>46100.958333333328</v>
      </c>
      <c r="AA32" s="257">
        <v>46145.916666666672</v>
      </c>
      <c r="AB32" s="263" t="str">
        <f t="shared" ref="AB32:AQ33" si="10">IF(AND($Z32&lt;=(AB$3+6),$AA32&gt;=AB$3),"■","")</f>
        <v>■</v>
      </c>
      <c r="AC32" s="263" t="str">
        <f t="shared" si="10"/>
        <v/>
      </c>
      <c r="AD32" s="263" t="str">
        <f t="shared" si="10"/>
        <v/>
      </c>
      <c r="AE32" s="263" t="str">
        <f t="shared" si="10"/>
        <v/>
      </c>
      <c r="AF32" s="263" t="str">
        <f t="shared" si="10"/>
        <v/>
      </c>
      <c r="AG32" s="263" t="str">
        <f t="shared" si="10"/>
        <v/>
      </c>
      <c r="AH32" s="263" t="str">
        <f t="shared" si="10"/>
        <v/>
      </c>
      <c r="AI32" s="263" t="str">
        <f t="shared" si="10"/>
        <v/>
      </c>
      <c r="AJ32" s="263" t="str">
        <f t="shared" si="10"/>
        <v/>
      </c>
      <c r="AK32" s="263" t="str">
        <f t="shared" si="10"/>
        <v/>
      </c>
      <c r="AL32" s="263" t="str">
        <f t="shared" si="10"/>
        <v/>
      </c>
      <c r="AM32" s="263" t="str">
        <f t="shared" si="10"/>
        <v/>
      </c>
      <c r="AN32" s="263" t="str">
        <f t="shared" si="10"/>
        <v/>
      </c>
      <c r="AO32" s="263" t="str">
        <f t="shared" si="10"/>
        <v/>
      </c>
      <c r="AP32" s="263" t="str">
        <f t="shared" si="10"/>
        <v/>
      </c>
      <c r="AQ32" s="263" t="str">
        <f t="shared" si="10"/>
        <v/>
      </c>
      <c r="AR32" s="263" t="str">
        <f t="shared" ref="AR32:AS33" si="11">IF(AND($Z32&lt;=(AR$3+6),$AA32&gt;=AR$3),"■","")</f>
        <v/>
      </c>
      <c r="AS32" s="264" t="str">
        <f t="shared" si="11"/>
        <v/>
      </c>
      <c r="AT32" s="204" t="s">
        <v>153</v>
      </c>
      <c r="AU32" s="235" t="s">
        <v>158</v>
      </c>
      <c r="AV32" s="235" t="s">
        <v>159</v>
      </c>
      <c r="AW32" s="205" t="s">
        <v>160</v>
      </c>
    </row>
    <row r="33" spans="1:49" ht="22.5" customHeight="1">
      <c r="A33" s="175" t="s">
        <v>20</v>
      </c>
      <c r="B33" s="169" t="s">
        <v>99</v>
      </c>
      <c r="C33" s="170">
        <v>46143</v>
      </c>
      <c r="D33" s="170">
        <v>46264</v>
      </c>
      <c r="E33" s="199" t="str">
        <f t="shared" si="7"/>
        <v>■</v>
      </c>
      <c r="F33" s="199" t="str">
        <f t="shared" si="7"/>
        <v>■</v>
      </c>
      <c r="G33" s="199" t="str">
        <f t="shared" si="7"/>
        <v>■</v>
      </c>
      <c r="H33" s="199" t="str">
        <f t="shared" si="7"/>
        <v>■</v>
      </c>
      <c r="I33" s="199" t="str">
        <f t="shared" si="7"/>
        <v>■</v>
      </c>
      <c r="J33" s="199" t="str">
        <f t="shared" si="7"/>
        <v>■</v>
      </c>
      <c r="K33" s="199" t="str">
        <f t="shared" si="7"/>
        <v>■</v>
      </c>
      <c r="L33" s="199" t="str">
        <f t="shared" si="7"/>
        <v>■</v>
      </c>
      <c r="M33" s="199" t="str">
        <f t="shared" si="7"/>
        <v>■</v>
      </c>
      <c r="N33" s="199" t="str">
        <f t="shared" si="7"/>
        <v>■</v>
      </c>
      <c r="O33" s="199" t="str">
        <f t="shared" si="8"/>
        <v>■</v>
      </c>
      <c r="P33" s="199" t="str">
        <f t="shared" si="8"/>
        <v>■</v>
      </c>
      <c r="Q33" s="199" t="str">
        <f t="shared" si="8"/>
        <v>■</v>
      </c>
      <c r="R33" s="199" t="str">
        <f t="shared" si="8"/>
        <v>■</v>
      </c>
      <c r="S33" s="199" t="str">
        <f t="shared" si="8"/>
        <v>■</v>
      </c>
      <c r="T33" s="199" t="str">
        <f t="shared" si="8"/>
        <v>■</v>
      </c>
      <c r="U33" s="199" t="str">
        <f t="shared" si="8"/>
        <v>■</v>
      </c>
      <c r="V33" s="177" t="str">
        <f t="shared" si="8"/>
        <v>■</v>
      </c>
      <c r="W33" s="166"/>
      <c r="X33" s="258" t="s">
        <v>28</v>
      </c>
      <c r="Y33" s="259" t="s">
        <v>161</v>
      </c>
      <c r="Z33" s="260">
        <v>46165.916666666672</v>
      </c>
      <c r="AA33" s="260">
        <v>46202.916666666672</v>
      </c>
      <c r="AB33" s="265" t="str">
        <f t="shared" si="10"/>
        <v/>
      </c>
      <c r="AC33" s="265" t="str">
        <f t="shared" si="10"/>
        <v/>
      </c>
      <c r="AD33" s="265" t="str">
        <f t="shared" si="10"/>
        <v/>
      </c>
      <c r="AE33" s="265" t="str">
        <f t="shared" si="10"/>
        <v>■</v>
      </c>
      <c r="AF33" s="265" t="str">
        <f t="shared" si="10"/>
        <v>■</v>
      </c>
      <c r="AG33" s="265" t="str">
        <f t="shared" si="10"/>
        <v>■</v>
      </c>
      <c r="AH33" s="265" t="str">
        <f t="shared" si="10"/>
        <v>■</v>
      </c>
      <c r="AI33" s="265" t="str">
        <f t="shared" si="10"/>
        <v>■</v>
      </c>
      <c r="AJ33" s="265" t="str">
        <f t="shared" si="10"/>
        <v>■</v>
      </c>
      <c r="AK33" s="265" t="str">
        <f t="shared" si="10"/>
        <v>■</v>
      </c>
      <c r="AL33" s="265" t="str">
        <f t="shared" si="10"/>
        <v/>
      </c>
      <c r="AM33" s="265" t="str">
        <f t="shared" si="10"/>
        <v/>
      </c>
      <c r="AN33" s="265" t="str">
        <f t="shared" si="10"/>
        <v/>
      </c>
      <c r="AO33" s="265" t="str">
        <f t="shared" si="10"/>
        <v/>
      </c>
      <c r="AP33" s="265" t="str">
        <f t="shared" si="10"/>
        <v/>
      </c>
      <c r="AQ33" s="265" t="str">
        <f t="shared" si="10"/>
        <v/>
      </c>
      <c r="AR33" s="265" t="str">
        <f t="shared" si="11"/>
        <v/>
      </c>
      <c r="AS33" s="266" t="str">
        <f t="shared" si="11"/>
        <v/>
      </c>
      <c r="AT33" s="206" t="s">
        <v>153</v>
      </c>
      <c r="AU33" s="207" t="s">
        <v>162</v>
      </c>
      <c r="AV33" s="207" t="s">
        <v>155</v>
      </c>
      <c r="AW33" s="239" t="s">
        <v>156</v>
      </c>
    </row>
    <row r="34" spans="1:49" ht="22.5" customHeight="1">
      <c r="A34" s="175" t="s">
        <v>20</v>
      </c>
      <c r="B34" s="169" t="s">
        <v>100</v>
      </c>
      <c r="C34" s="170">
        <v>46204</v>
      </c>
      <c r="D34" s="170">
        <v>46264</v>
      </c>
      <c r="E34" s="199" t="str">
        <f t="shared" si="7"/>
        <v/>
      </c>
      <c r="F34" s="199" t="str">
        <f t="shared" si="7"/>
        <v/>
      </c>
      <c r="G34" s="199" t="str">
        <f t="shared" si="7"/>
        <v/>
      </c>
      <c r="H34" s="199" t="str">
        <f t="shared" si="7"/>
        <v/>
      </c>
      <c r="I34" s="199" t="str">
        <f t="shared" si="7"/>
        <v/>
      </c>
      <c r="J34" s="199" t="str">
        <f t="shared" si="7"/>
        <v/>
      </c>
      <c r="K34" s="199" t="str">
        <f t="shared" si="7"/>
        <v/>
      </c>
      <c r="L34" s="199" t="str">
        <f t="shared" si="7"/>
        <v/>
      </c>
      <c r="M34" s="199" t="str">
        <f t="shared" si="7"/>
        <v/>
      </c>
      <c r="N34" s="199" t="str">
        <f t="shared" si="7"/>
        <v>■</v>
      </c>
      <c r="O34" s="199" t="str">
        <f t="shared" si="8"/>
        <v>■</v>
      </c>
      <c r="P34" s="199" t="str">
        <f t="shared" si="8"/>
        <v>■</v>
      </c>
      <c r="Q34" s="199" t="str">
        <f t="shared" si="8"/>
        <v>■</v>
      </c>
      <c r="R34" s="199" t="str">
        <f t="shared" si="8"/>
        <v>■</v>
      </c>
      <c r="S34" s="199" t="str">
        <f t="shared" si="8"/>
        <v>■</v>
      </c>
      <c r="T34" s="199" t="str">
        <f t="shared" si="8"/>
        <v>■</v>
      </c>
      <c r="U34" s="199" t="str">
        <f t="shared" si="8"/>
        <v>■</v>
      </c>
      <c r="V34" s="177" t="str">
        <f t="shared" si="8"/>
        <v>■</v>
      </c>
      <c r="W34" s="166"/>
      <c r="X34" s="252"/>
      <c r="Y34" s="222"/>
      <c r="Z34" s="168"/>
      <c r="AA34" s="168"/>
      <c r="AB34" s="252"/>
      <c r="AC34" s="252"/>
      <c r="AD34" s="252"/>
      <c r="AE34" s="252"/>
      <c r="AF34" s="252"/>
      <c r="AG34" s="252"/>
      <c r="AH34" s="252"/>
      <c r="AI34" s="252"/>
      <c r="AJ34" s="252"/>
      <c r="AK34" s="252"/>
      <c r="AL34" s="252"/>
      <c r="AM34" s="252"/>
      <c r="AN34" s="252"/>
      <c r="AO34" s="252"/>
      <c r="AP34" s="252"/>
      <c r="AQ34" s="252"/>
      <c r="AR34" s="252"/>
      <c r="AS34" s="252"/>
      <c r="AT34" s="235"/>
      <c r="AU34" s="235"/>
      <c r="AV34" s="235"/>
      <c r="AW34" s="235"/>
    </row>
    <row r="35" spans="1:49" ht="22.5" customHeight="1">
      <c r="A35" s="175" t="s">
        <v>22</v>
      </c>
      <c r="B35" s="169" t="s">
        <v>97</v>
      </c>
      <c r="C35" s="170">
        <v>46143</v>
      </c>
      <c r="D35" s="170">
        <v>46264</v>
      </c>
      <c r="E35" s="171" t="str">
        <f t="shared" si="7"/>
        <v>■</v>
      </c>
      <c r="F35" s="171" t="str">
        <f t="shared" si="7"/>
        <v>■</v>
      </c>
      <c r="G35" s="171" t="str">
        <f t="shared" si="7"/>
        <v>■</v>
      </c>
      <c r="H35" s="171" t="str">
        <f t="shared" si="7"/>
        <v>■</v>
      </c>
      <c r="I35" s="171" t="str">
        <f t="shared" si="7"/>
        <v>■</v>
      </c>
      <c r="J35" s="171" t="str">
        <f t="shared" si="7"/>
        <v>■</v>
      </c>
      <c r="K35" s="171" t="str">
        <f t="shared" si="7"/>
        <v>■</v>
      </c>
      <c r="L35" s="171" t="str">
        <f t="shared" si="7"/>
        <v>■</v>
      </c>
      <c r="M35" s="171" t="str">
        <f t="shared" si="7"/>
        <v>■</v>
      </c>
      <c r="N35" s="171" t="str">
        <f t="shared" si="7"/>
        <v>■</v>
      </c>
      <c r="O35" s="171" t="str">
        <f t="shared" si="8"/>
        <v>■</v>
      </c>
      <c r="P35" s="171" t="str">
        <f t="shared" si="8"/>
        <v>■</v>
      </c>
      <c r="Q35" s="171" t="str">
        <f t="shared" si="8"/>
        <v>■</v>
      </c>
      <c r="R35" s="171" t="str">
        <f t="shared" si="8"/>
        <v>■</v>
      </c>
      <c r="S35" s="171" t="str">
        <f t="shared" si="8"/>
        <v>■</v>
      </c>
      <c r="T35" s="171" t="str">
        <f t="shared" si="8"/>
        <v>■</v>
      </c>
      <c r="U35" s="171" t="str">
        <f t="shared" si="8"/>
        <v>■</v>
      </c>
      <c r="V35" s="178" t="str">
        <f t="shared" si="8"/>
        <v>■</v>
      </c>
      <c r="W35" s="166"/>
      <c r="X35" s="222"/>
      <c r="Y35" s="222"/>
      <c r="Z35" s="166"/>
      <c r="AT35" s="235"/>
      <c r="AU35" s="235"/>
      <c r="AV35" s="235"/>
      <c r="AW35" s="235"/>
    </row>
    <row r="36" spans="1:49" ht="22.5" customHeight="1">
      <c r="A36" s="175" t="s">
        <v>22</v>
      </c>
      <c r="B36" s="169" t="s">
        <v>98</v>
      </c>
      <c r="C36" s="170">
        <v>46143</v>
      </c>
      <c r="D36" s="170">
        <v>46264</v>
      </c>
      <c r="E36" s="171" t="str">
        <f t="shared" si="7"/>
        <v>■</v>
      </c>
      <c r="F36" s="171" t="str">
        <f t="shared" si="7"/>
        <v>■</v>
      </c>
      <c r="G36" s="171" t="str">
        <f t="shared" si="7"/>
        <v>■</v>
      </c>
      <c r="H36" s="171" t="str">
        <f t="shared" si="7"/>
        <v>■</v>
      </c>
      <c r="I36" s="171" t="str">
        <f t="shared" si="7"/>
        <v>■</v>
      </c>
      <c r="J36" s="171" t="str">
        <f t="shared" si="7"/>
        <v>■</v>
      </c>
      <c r="K36" s="171" t="str">
        <f t="shared" si="7"/>
        <v>■</v>
      </c>
      <c r="L36" s="171" t="str">
        <f t="shared" si="7"/>
        <v>■</v>
      </c>
      <c r="M36" s="171" t="str">
        <f t="shared" si="7"/>
        <v>■</v>
      </c>
      <c r="N36" s="171" t="str">
        <f t="shared" si="7"/>
        <v>■</v>
      </c>
      <c r="O36" s="171" t="str">
        <f t="shared" si="8"/>
        <v>■</v>
      </c>
      <c r="P36" s="171" t="str">
        <f t="shared" si="8"/>
        <v>■</v>
      </c>
      <c r="Q36" s="171" t="str">
        <f t="shared" si="8"/>
        <v>■</v>
      </c>
      <c r="R36" s="171" t="str">
        <f t="shared" si="8"/>
        <v>■</v>
      </c>
      <c r="S36" s="171" t="str">
        <f t="shared" si="8"/>
        <v>■</v>
      </c>
      <c r="T36" s="171" t="str">
        <f t="shared" si="8"/>
        <v>■</v>
      </c>
      <c r="U36" s="171" t="str">
        <f t="shared" si="8"/>
        <v>■</v>
      </c>
      <c r="V36" s="178" t="str">
        <f t="shared" si="8"/>
        <v>■</v>
      </c>
      <c r="W36" s="166"/>
      <c r="X36" s="222"/>
      <c r="Y36" s="222"/>
      <c r="Z36" s="166"/>
      <c r="AT36" s="235"/>
      <c r="AU36" s="235"/>
      <c r="AV36" s="235"/>
      <c r="AW36" s="235"/>
    </row>
    <row r="37" spans="1:49" ht="22.5" customHeight="1">
      <c r="A37" s="175" t="s">
        <v>22</v>
      </c>
      <c r="B37" s="169" t="s">
        <v>99</v>
      </c>
      <c r="C37" s="170">
        <v>46143</v>
      </c>
      <c r="D37" s="170">
        <v>46264</v>
      </c>
      <c r="E37" s="171" t="str">
        <f t="shared" si="7"/>
        <v>■</v>
      </c>
      <c r="F37" s="171" t="str">
        <f t="shared" si="7"/>
        <v>■</v>
      </c>
      <c r="G37" s="171" t="str">
        <f t="shared" si="7"/>
        <v>■</v>
      </c>
      <c r="H37" s="171" t="str">
        <f t="shared" si="7"/>
        <v>■</v>
      </c>
      <c r="I37" s="171" t="str">
        <f t="shared" si="7"/>
        <v>■</v>
      </c>
      <c r="J37" s="171" t="str">
        <f t="shared" si="7"/>
        <v>■</v>
      </c>
      <c r="K37" s="171" t="str">
        <f t="shared" si="7"/>
        <v>■</v>
      </c>
      <c r="L37" s="171" t="str">
        <f t="shared" si="7"/>
        <v>■</v>
      </c>
      <c r="M37" s="171" t="str">
        <f t="shared" si="7"/>
        <v>■</v>
      </c>
      <c r="N37" s="171" t="str">
        <f t="shared" si="7"/>
        <v>■</v>
      </c>
      <c r="O37" s="171" t="str">
        <f t="shared" si="8"/>
        <v>■</v>
      </c>
      <c r="P37" s="171" t="str">
        <f t="shared" si="8"/>
        <v>■</v>
      </c>
      <c r="Q37" s="171" t="str">
        <f t="shared" si="8"/>
        <v>■</v>
      </c>
      <c r="R37" s="171" t="str">
        <f t="shared" si="8"/>
        <v>■</v>
      </c>
      <c r="S37" s="171" t="str">
        <f t="shared" si="8"/>
        <v>■</v>
      </c>
      <c r="T37" s="171" t="str">
        <f t="shared" si="8"/>
        <v>■</v>
      </c>
      <c r="U37" s="171" t="str">
        <f t="shared" si="8"/>
        <v>■</v>
      </c>
      <c r="V37" s="178" t="str">
        <f t="shared" si="8"/>
        <v>■</v>
      </c>
      <c r="W37" s="166"/>
      <c r="X37" s="222"/>
      <c r="Y37" s="222"/>
      <c r="Z37" s="166"/>
      <c r="AT37" s="235"/>
      <c r="AU37" s="235"/>
      <c r="AV37" s="235"/>
      <c r="AW37" s="235"/>
    </row>
    <row r="38" spans="1:49" ht="22.5" customHeight="1">
      <c r="A38" s="175" t="s">
        <v>22</v>
      </c>
      <c r="B38" s="169" t="s">
        <v>100</v>
      </c>
      <c r="C38" s="170">
        <v>46204</v>
      </c>
      <c r="D38" s="170">
        <v>46264</v>
      </c>
      <c r="E38" s="171" t="str">
        <f t="shared" si="7"/>
        <v/>
      </c>
      <c r="F38" s="171" t="str">
        <f t="shared" si="7"/>
        <v/>
      </c>
      <c r="G38" s="171" t="str">
        <f t="shared" si="7"/>
        <v/>
      </c>
      <c r="H38" s="171" t="str">
        <f t="shared" si="7"/>
        <v/>
      </c>
      <c r="I38" s="171" t="str">
        <f t="shared" si="7"/>
        <v/>
      </c>
      <c r="J38" s="171" t="str">
        <f t="shared" si="7"/>
        <v/>
      </c>
      <c r="K38" s="171" t="str">
        <f t="shared" si="7"/>
        <v/>
      </c>
      <c r="L38" s="171" t="str">
        <f t="shared" si="7"/>
        <v/>
      </c>
      <c r="M38" s="171" t="str">
        <f t="shared" si="7"/>
        <v/>
      </c>
      <c r="N38" s="171" t="str">
        <f t="shared" si="7"/>
        <v>■</v>
      </c>
      <c r="O38" s="171" t="str">
        <f t="shared" si="8"/>
        <v>■</v>
      </c>
      <c r="P38" s="171" t="str">
        <f t="shared" si="8"/>
        <v>■</v>
      </c>
      <c r="Q38" s="171" t="str">
        <f t="shared" si="8"/>
        <v>■</v>
      </c>
      <c r="R38" s="171" t="str">
        <f t="shared" si="8"/>
        <v>■</v>
      </c>
      <c r="S38" s="171" t="str">
        <f t="shared" si="8"/>
        <v>■</v>
      </c>
      <c r="T38" s="171" t="str">
        <f t="shared" si="8"/>
        <v>■</v>
      </c>
      <c r="U38" s="171" t="str">
        <f t="shared" si="8"/>
        <v>■</v>
      </c>
      <c r="V38" s="178" t="str">
        <f t="shared" si="8"/>
        <v>■</v>
      </c>
      <c r="W38" s="166"/>
      <c r="X38" s="222"/>
      <c r="Y38" s="222"/>
      <c r="Z38" s="166"/>
      <c r="AT38" s="235"/>
      <c r="AU38" s="235"/>
      <c r="AV38" s="235"/>
      <c r="AW38" s="235"/>
    </row>
    <row r="39" spans="1:49" ht="22.5" customHeight="1">
      <c r="A39" s="175" t="s">
        <v>28</v>
      </c>
      <c r="B39" s="169" t="s">
        <v>97</v>
      </c>
      <c r="C39" s="170">
        <v>46143</v>
      </c>
      <c r="D39" s="170">
        <v>46264</v>
      </c>
      <c r="E39" s="200" t="str">
        <f t="shared" si="7"/>
        <v>■</v>
      </c>
      <c r="F39" s="200" t="str">
        <f t="shared" si="7"/>
        <v>■</v>
      </c>
      <c r="G39" s="200" t="str">
        <f t="shared" si="7"/>
        <v>■</v>
      </c>
      <c r="H39" s="200" t="str">
        <f t="shared" si="7"/>
        <v>■</v>
      </c>
      <c r="I39" s="200" t="str">
        <f t="shared" si="7"/>
        <v>■</v>
      </c>
      <c r="J39" s="200" t="str">
        <f t="shared" si="7"/>
        <v>■</v>
      </c>
      <c r="K39" s="200" t="str">
        <f t="shared" si="7"/>
        <v>■</v>
      </c>
      <c r="L39" s="200" t="str">
        <f t="shared" si="7"/>
        <v>■</v>
      </c>
      <c r="M39" s="200" t="str">
        <f t="shared" si="7"/>
        <v>■</v>
      </c>
      <c r="N39" s="200" t="str">
        <f t="shared" si="7"/>
        <v>■</v>
      </c>
      <c r="O39" s="200" t="str">
        <f t="shared" si="8"/>
        <v>■</v>
      </c>
      <c r="P39" s="200" t="str">
        <f t="shared" si="8"/>
        <v>■</v>
      </c>
      <c r="Q39" s="200" t="str">
        <f t="shared" si="8"/>
        <v>■</v>
      </c>
      <c r="R39" s="200" t="str">
        <f t="shared" si="8"/>
        <v>■</v>
      </c>
      <c r="S39" s="200" t="str">
        <f t="shared" si="8"/>
        <v>■</v>
      </c>
      <c r="T39" s="200" t="str">
        <f t="shared" si="8"/>
        <v>■</v>
      </c>
      <c r="U39" s="200" t="str">
        <f t="shared" si="8"/>
        <v>■</v>
      </c>
      <c r="V39" s="179" t="str">
        <f t="shared" si="8"/>
        <v>■</v>
      </c>
      <c r="W39" s="166"/>
      <c r="X39" s="222"/>
      <c r="Y39" s="222"/>
      <c r="Z39" s="166"/>
      <c r="AT39" s="235"/>
      <c r="AU39" s="235"/>
      <c r="AV39" s="235"/>
      <c r="AW39" s="235"/>
    </row>
    <row r="40" spans="1:49" ht="22.5" customHeight="1">
      <c r="A40" s="175" t="s">
        <v>28</v>
      </c>
      <c r="B40" s="169" t="s">
        <v>98</v>
      </c>
      <c r="C40" s="170">
        <v>46204</v>
      </c>
      <c r="D40" s="170">
        <v>46264</v>
      </c>
      <c r="E40" s="200" t="str">
        <f t="shared" si="7"/>
        <v/>
      </c>
      <c r="F40" s="200" t="str">
        <f t="shared" si="7"/>
        <v/>
      </c>
      <c r="G40" s="200" t="str">
        <f t="shared" si="7"/>
        <v/>
      </c>
      <c r="H40" s="200" t="str">
        <f t="shared" si="7"/>
        <v/>
      </c>
      <c r="I40" s="200" t="str">
        <f t="shared" si="7"/>
        <v/>
      </c>
      <c r="J40" s="200" t="str">
        <f t="shared" si="7"/>
        <v/>
      </c>
      <c r="K40" s="200" t="str">
        <f t="shared" si="7"/>
        <v/>
      </c>
      <c r="L40" s="200" t="str">
        <f t="shared" si="7"/>
        <v/>
      </c>
      <c r="M40" s="200" t="str">
        <f t="shared" si="7"/>
        <v/>
      </c>
      <c r="N40" s="200" t="str">
        <f t="shared" si="7"/>
        <v>■</v>
      </c>
      <c r="O40" s="200" t="str">
        <f t="shared" si="8"/>
        <v>■</v>
      </c>
      <c r="P40" s="200" t="str">
        <f t="shared" si="8"/>
        <v>■</v>
      </c>
      <c r="Q40" s="200" t="str">
        <f t="shared" si="8"/>
        <v>■</v>
      </c>
      <c r="R40" s="200" t="str">
        <f t="shared" si="8"/>
        <v>■</v>
      </c>
      <c r="S40" s="200" t="str">
        <f t="shared" si="8"/>
        <v>■</v>
      </c>
      <c r="T40" s="200" t="str">
        <f t="shared" si="8"/>
        <v>■</v>
      </c>
      <c r="U40" s="200" t="str">
        <f t="shared" si="8"/>
        <v>■</v>
      </c>
      <c r="V40" s="179" t="str">
        <f t="shared" si="8"/>
        <v>■</v>
      </c>
      <c r="W40" s="166"/>
      <c r="X40" s="222"/>
      <c r="Y40" s="222"/>
      <c r="Z40" s="166"/>
      <c r="AT40" s="235"/>
      <c r="AU40" s="235"/>
      <c r="AV40" s="235"/>
      <c r="AW40" s="235"/>
    </row>
    <row r="41" spans="1:49" ht="22.5" customHeight="1">
      <c r="A41" s="175" t="s">
        <v>28</v>
      </c>
      <c r="B41" s="169" t="s">
        <v>99</v>
      </c>
      <c r="C41" s="170">
        <v>46204</v>
      </c>
      <c r="D41" s="170">
        <v>46264</v>
      </c>
      <c r="E41" s="200" t="str">
        <f t="shared" si="7"/>
        <v/>
      </c>
      <c r="F41" s="200" t="str">
        <f t="shared" si="7"/>
        <v/>
      </c>
      <c r="G41" s="200" t="str">
        <f t="shared" si="7"/>
        <v/>
      </c>
      <c r="H41" s="200" t="str">
        <f t="shared" si="7"/>
        <v/>
      </c>
      <c r="I41" s="200" t="str">
        <f t="shared" si="7"/>
        <v/>
      </c>
      <c r="J41" s="200" t="str">
        <f t="shared" si="7"/>
        <v/>
      </c>
      <c r="K41" s="200" t="str">
        <f t="shared" si="7"/>
        <v/>
      </c>
      <c r="L41" s="200" t="str">
        <f t="shared" si="7"/>
        <v/>
      </c>
      <c r="M41" s="200" t="str">
        <f t="shared" si="7"/>
        <v/>
      </c>
      <c r="N41" s="200" t="str">
        <f t="shared" si="7"/>
        <v>■</v>
      </c>
      <c r="O41" s="200" t="str">
        <f t="shared" si="8"/>
        <v>■</v>
      </c>
      <c r="P41" s="200" t="str">
        <f t="shared" si="8"/>
        <v>■</v>
      </c>
      <c r="Q41" s="200" t="str">
        <f t="shared" si="8"/>
        <v>■</v>
      </c>
      <c r="R41" s="200" t="str">
        <f t="shared" si="8"/>
        <v>■</v>
      </c>
      <c r="S41" s="200" t="str">
        <f t="shared" si="8"/>
        <v>■</v>
      </c>
      <c r="T41" s="200" t="str">
        <f t="shared" si="8"/>
        <v>■</v>
      </c>
      <c r="U41" s="200" t="str">
        <f t="shared" si="8"/>
        <v>■</v>
      </c>
      <c r="V41" s="179" t="str">
        <f t="shared" si="8"/>
        <v>■</v>
      </c>
      <c r="W41" s="166"/>
      <c r="X41" s="222"/>
      <c r="Y41" s="222"/>
      <c r="Z41" s="166"/>
      <c r="AT41" s="235"/>
      <c r="AU41" s="235"/>
      <c r="AV41" s="235"/>
      <c r="AW41" s="235"/>
    </row>
    <row r="42" spans="1:49" ht="22.5" customHeight="1">
      <c r="A42" s="176" t="s">
        <v>28</v>
      </c>
      <c r="B42" s="172" t="s">
        <v>100</v>
      </c>
      <c r="C42" s="173">
        <v>46204</v>
      </c>
      <c r="D42" s="173">
        <v>46264</v>
      </c>
      <c r="E42" s="174" t="str">
        <f t="shared" si="7"/>
        <v/>
      </c>
      <c r="F42" s="174" t="str">
        <f t="shared" si="7"/>
        <v/>
      </c>
      <c r="G42" s="174" t="str">
        <f t="shared" si="7"/>
        <v/>
      </c>
      <c r="H42" s="174" t="str">
        <f t="shared" si="7"/>
        <v/>
      </c>
      <c r="I42" s="174" t="str">
        <f t="shared" si="7"/>
        <v/>
      </c>
      <c r="J42" s="174" t="str">
        <f t="shared" si="7"/>
        <v/>
      </c>
      <c r="K42" s="174" t="str">
        <f t="shared" si="7"/>
        <v/>
      </c>
      <c r="L42" s="174" t="str">
        <f t="shared" si="7"/>
        <v/>
      </c>
      <c r="M42" s="174" t="str">
        <f t="shared" si="7"/>
        <v/>
      </c>
      <c r="N42" s="174" t="str">
        <f t="shared" si="7"/>
        <v>■</v>
      </c>
      <c r="O42" s="174" t="str">
        <f t="shared" si="8"/>
        <v>■</v>
      </c>
      <c r="P42" s="174" t="str">
        <f t="shared" si="8"/>
        <v>■</v>
      </c>
      <c r="Q42" s="174" t="str">
        <f t="shared" si="8"/>
        <v>■</v>
      </c>
      <c r="R42" s="174" t="str">
        <f t="shared" si="8"/>
        <v>■</v>
      </c>
      <c r="S42" s="174" t="str">
        <f t="shared" si="8"/>
        <v>■</v>
      </c>
      <c r="T42" s="174" t="str">
        <f t="shared" si="8"/>
        <v>■</v>
      </c>
      <c r="U42" s="174" t="str">
        <f t="shared" si="8"/>
        <v>■</v>
      </c>
      <c r="V42" s="180" t="str">
        <f t="shared" si="8"/>
        <v>■</v>
      </c>
      <c r="W42" s="166"/>
      <c r="X42" s="222"/>
      <c r="Y42" s="222"/>
      <c r="Z42" s="166"/>
      <c r="AT42" s="235"/>
      <c r="AU42" s="235"/>
      <c r="AV42" s="235"/>
      <c r="AW42" s="235"/>
    </row>
    <row r="43" spans="1:49" s="208" customFormat="1" ht="22.5" customHeight="1">
      <c r="A43" s="292" t="s">
        <v>163</v>
      </c>
      <c r="B43" s="292"/>
      <c r="C43" s="292"/>
      <c r="D43" s="292"/>
      <c r="E43" s="292"/>
      <c r="F43" s="292"/>
      <c r="G43" s="292"/>
      <c r="H43" s="292"/>
      <c r="I43" s="292"/>
      <c r="J43" s="292"/>
      <c r="K43" s="292"/>
      <c r="L43" s="292"/>
      <c r="M43" s="292"/>
      <c r="N43" s="292"/>
      <c r="O43" s="292"/>
      <c r="P43" s="292"/>
      <c r="Q43" s="292"/>
      <c r="R43" s="292"/>
      <c r="S43" s="292"/>
      <c r="T43" s="292"/>
      <c r="U43" s="292"/>
      <c r="V43" s="292"/>
      <c r="X43" s="294" t="s">
        <v>164</v>
      </c>
      <c r="Y43" s="294"/>
      <c r="Z43" s="294"/>
      <c r="AA43" s="294"/>
      <c r="AB43" s="294"/>
      <c r="AC43" s="294"/>
      <c r="AD43" s="294"/>
      <c r="AE43" s="294"/>
      <c r="AF43" s="294"/>
      <c r="AG43" s="294"/>
      <c r="AH43" s="294"/>
      <c r="AI43" s="294"/>
      <c r="AJ43" s="294"/>
      <c r="AK43" s="294"/>
      <c r="AL43" s="294"/>
      <c r="AM43" s="294"/>
      <c r="AN43" s="294"/>
      <c r="AO43" s="294"/>
      <c r="AP43" s="294"/>
      <c r="AQ43" s="294"/>
      <c r="AR43" s="294"/>
      <c r="AS43" s="294"/>
      <c r="AT43" s="237"/>
      <c r="AU43" s="237"/>
      <c r="AV43" s="237"/>
      <c r="AW43" s="237"/>
    </row>
    <row r="44" spans="1:49" s="208" customFormat="1" ht="22.5" customHeight="1">
      <c r="A44" s="186" t="s">
        <v>105</v>
      </c>
      <c r="B44" s="187" t="s">
        <v>106</v>
      </c>
      <c r="C44" s="181" t="s">
        <v>95</v>
      </c>
      <c r="D44" s="181" t="s">
        <v>96</v>
      </c>
      <c r="E44" s="184" t="s">
        <v>107</v>
      </c>
      <c r="F44" s="184" t="s">
        <v>108</v>
      </c>
      <c r="G44" s="184" t="s">
        <v>109</v>
      </c>
      <c r="H44" s="184" t="s">
        <v>110</v>
      </c>
      <c r="I44" s="184" t="s">
        <v>111</v>
      </c>
      <c r="J44" s="184" t="s">
        <v>112</v>
      </c>
      <c r="K44" s="184" t="s">
        <v>113</v>
      </c>
      <c r="L44" s="184" t="s">
        <v>114</v>
      </c>
      <c r="M44" s="184" t="s">
        <v>115</v>
      </c>
      <c r="N44" s="184" t="s">
        <v>116</v>
      </c>
      <c r="O44" s="184" t="s">
        <v>117</v>
      </c>
      <c r="P44" s="184" t="s">
        <v>118</v>
      </c>
      <c r="Q44" s="184" t="s">
        <v>119</v>
      </c>
      <c r="R44" s="184" t="s">
        <v>120</v>
      </c>
      <c r="S44" s="184" t="s">
        <v>121</v>
      </c>
      <c r="T44" s="184" t="s">
        <v>122</v>
      </c>
      <c r="U44" s="184" t="s">
        <v>123</v>
      </c>
      <c r="V44" s="185" t="s">
        <v>124</v>
      </c>
      <c r="X44" s="219" t="s">
        <v>105</v>
      </c>
      <c r="Y44" s="220" t="s">
        <v>125</v>
      </c>
      <c r="Z44" s="184" t="s">
        <v>95</v>
      </c>
      <c r="AA44" s="184" t="s">
        <v>96</v>
      </c>
      <c r="AB44" s="250" t="s">
        <v>107</v>
      </c>
      <c r="AC44" s="250" t="s">
        <v>108</v>
      </c>
      <c r="AD44" s="250" t="s">
        <v>109</v>
      </c>
      <c r="AE44" s="250" t="s">
        <v>110</v>
      </c>
      <c r="AF44" s="250" t="s">
        <v>111</v>
      </c>
      <c r="AG44" s="250" t="s">
        <v>112</v>
      </c>
      <c r="AH44" s="250" t="s">
        <v>113</v>
      </c>
      <c r="AI44" s="250" t="s">
        <v>114</v>
      </c>
      <c r="AJ44" s="250" t="s">
        <v>115</v>
      </c>
      <c r="AK44" s="250" t="s">
        <v>116</v>
      </c>
      <c r="AL44" s="250" t="s">
        <v>117</v>
      </c>
      <c r="AM44" s="250" t="s">
        <v>118</v>
      </c>
      <c r="AN44" s="250" t="s">
        <v>119</v>
      </c>
      <c r="AO44" s="250" t="s">
        <v>120</v>
      </c>
      <c r="AP44" s="250" t="s">
        <v>121</v>
      </c>
      <c r="AQ44" s="250" t="s">
        <v>122</v>
      </c>
      <c r="AR44" s="250" t="s">
        <v>123</v>
      </c>
      <c r="AS44" s="251" t="s">
        <v>124</v>
      </c>
      <c r="AT44" s="202" t="s">
        <v>126</v>
      </c>
      <c r="AU44" s="201" t="s">
        <v>127</v>
      </c>
      <c r="AV44" s="201" t="s">
        <v>128</v>
      </c>
      <c r="AW44" s="203" t="s">
        <v>129</v>
      </c>
    </row>
    <row r="45" spans="1:49" ht="22.5" customHeight="1">
      <c r="A45" s="175" t="s">
        <v>20</v>
      </c>
      <c r="B45" s="169" t="s">
        <v>97</v>
      </c>
      <c r="C45" s="170">
        <v>46143</v>
      </c>
      <c r="D45" s="170">
        <v>46264</v>
      </c>
      <c r="E45" s="199" t="str">
        <f t="shared" ref="E45:N56" si="12">IFERROR(IF(OR($A45="",$A45="Model",LEFT($A45,5)="Markt"),"",IF(AND($C45&lt;=E$3+6,$D45&gt;=E$3),"■","")),"")</f>
        <v>■</v>
      </c>
      <c r="F45" s="199" t="str">
        <f t="shared" si="12"/>
        <v>■</v>
      </c>
      <c r="G45" s="199" t="str">
        <f t="shared" si="12"/>
        <v>■</v>
      </c>
      <c r="H45" s="199" t="str">
        <f t="shared" si="12"/>
        <v>■</v>
      </c>
      <c r="I45" s="199" t="str">
        <f t="shared" si="12"/>
        <v>■</v>
      </c>
      <c r="J45" s="199" t="str">
        <f t="shared" si="12"/>
        <v>■</v>
      </c>
      <c r="K45" s="199" t="str">
        <f t="shared" si="12"/>
        <v>■</v>
      </c>
      <c r="L45" s="199" t="str">
        <f t="shared" si="12"/>
        <v>■</v>
      </c>
      <c r="M45" s="199" t="str">
        <f t="shared" si="12"/>
        <v>■</v>
      </c>
      <c r="N45" s="199" t="str">
        <f t="shared" si="12"/>
        <v>■</v>
      </c>
      <c r="O45" s="199" t="str">
        <f t="shared" ref="O45:V56" si="13">IFERROR(IF(OR($A45="",$A45="Model",LEFT($A45,5)="Markt"),"",IF(AND($C45&lt;=O$3+6,$D45&gt;=O$3),"■","")),"")</f>
        <v>■</v>
      </c>
      <c r="P45" s="199" t="str">
        <f t="shared" si="13"/>
        <v>■</v>
      </c>
      <c r="Q45" s="199" t="str">
        <f t="shared" si="13"/>
        <v>■</v>
      </c>
      <c r="R45" s="199" t="str">
        <f t="shared" si="13"/>
        <v>■</v>
      </c>
      <c r="S45" s="199" t="str">
        <f t="shared" si="13"/>
        <v>■</v>
      </c>
      <c r="T45" s="199" t="str">
        <f t="shared" si="13"/>
        <v>■</v>
      </c>
      <c r="U45" s="199" t="str">
        <f t="shared" si="13"/>
        <v>■</v>
      </c>
      <c r="V45" s="177" t="str">
        <f t="shared" si="13"/>
        <v>■</v>
      </c>
      <c r="W45" s="166"/>
      <c r="X45" s="221" t="s">
        <v>133</v>
      </c>
      <c r="Y45" s="222" t="s">
        <v>165</v>
      </c>
      <c r="Z45" s="168">
        <v>46022</v>
      </c>
      <c r="AA45" s="168">
        <v>46386</v>
      </c>
      <c r="AB45" s="199" t="str">
        <f t="shared" ref="AB45:AK51" si="14">IF(AND($Z45&lt;=(AB$3+6),$AA45&gt;=AB$3),"■","")</f>
        <v>■</v>
      </c>
      <c r="AC45" s="199" t="str">
        <f t="shared" si="14"/>
        <v>■</v>
      </c>
      <c r="AD45" s="199" t="str">
        <f t="shared" si="14"/>
        <v>■</v>
      </c>
      <c r="AE45" s="199" t="str">
        <f t="shared" si="14"/>
        <v>■</v>
      </c>
      <c r="AF45" s="199" t="str">
        <f t="shared" si="14"/>
        <v>■</v>
      </c>
      <c r="AG45" s="199" t="str">
        <f t="shared" si="14"/>
        <v>■</v>
      </c>
      <c r="AH45" s="199" t="str">
        <f t="shared" si="14"/>
        <v>■</v>
      </c>
      <c r="AI45" s="199" t="str">
        <f t="shared" si="14"/>
        <v>■</v>
      </c>
      <c r="AJ45" s="199" t="str">
        <f t="shared" si="14"/>
        <v>■</v>
      </c>
      <c r="AK45" s="199" t="str">
        <f t="shared" si="14"/>
        <v>■</v>
      </c>
      <c r="AL45" s="199" t="str">
        <f t="shared" ref="AL45:AS51" si="15">IF(AND($Z45&lt;=(AL$3+6),$AA45&gt;=AL$3),"■","")</f>
        <v>■</v>
      </c>
      <c r="AM45" s="199" t="str">
        <f t="shared" si="15"/>
        <v>■</v>
      </c>
      <c r="AN45" s="199" t="str">
        <f t="shared" si="15"/>
        <v>■</v>
      </c>
      <c r="AO45" s="199" t="str">
        <f t="shared" si="15"/>
        <v>■</v>
      </c>
      <c r="AP45" s="199" t="str">
        <f t="shared" si="15"/>
        <v>■</v>
      </c>
      <c r="AQ45" s="199" t="str">
        <f t="shared" si="15"/>
        <v>■</v>
      </c>
      <c r="AR45" s="199" t="str">
        <f t="shared" si="15"/>
        <v>■</v>
      </c>
      <c r="AS45" s="177" t="str">
        <f t="shared" si="15"/>
        <v>■</v>
      </c>
      <c r="AT45" s="204" t="s">
        <v>51</v>
      </c>
      <c r="AU45" s="235" t="s">
        <v>166</v>
      </c>
      <c r="AV45" s="235" t="s">
        <v>167</v>
      </c>
      <c r="AW45" s="205" t="s">
        <v>168</v>
      </c>
    </row>
    <row r="46" spans="1:49" ht="22.5" customHeight="1">
      <c r="A46" s="175" t="s">
        <v>20</v>
      </c>
      <c r="B46" s="169" t="s">
        <v>98</v>
      </c>
      <c r="C46" s="170">
        <v>46143</v>
      </c>
      <c r="D46" s="170">
        <v>46264</v>
      </c>
      <c r="E46" s="199" t="str">
        <f t="shared" si="12"/>
        <v>■</v>
      </c>
      <c r="F46" s="199" t="str">
        <f t="shared" si="12"/>
        <v>■</v>
      </c>
      <c r="G46" s="199" t="str">
        <f t="shared" si="12"/>
        <v>■</v>
      </c>
      <c r="H46" s="199" t="str">
        <f t="shared" si="12"/>
        <v>■</v>
      </c>
      <c r="I46" s="199" t="str">
        <f t="shared" si="12"/>
        <v>■</v>
      </c>
      <c r="J46" s="199" t="str">
        <f t="shared" si="12"/>
        <v>■</v>
      </c>
      <c r="K46" s="199" t="str">
        <f t="shared" si="12"/>
        <v>■</v>
      </c>
      <c r="L46" s="199" t="str">
        <f t="shared" si="12"/>
        <v>■</v>
      </c>
      <c r="M46" s="199" t="str">
        <f t="shared" si="12"/>
        <v>■</v>
      </c>
      <c r="N46" s="199" t="str">
        <f t="shared" si="12"/>
        <v>■</v>
      </c>
      <c r="O46" s="199" t="str">
        <f t="shared" si="13"/>
        <v>■</v>
      </c>
      <c r="P46" s="199" t="str">
        <f t="shared" si="13"/>
        <v>■</v>
      </c>
      <c r="Q46" s="199" t="str">
        <f t="shared" si="13"/>
        <v>■</v>
      </c>
      <c r="R46" s="199" t="str">
        <f t="shared" si="13"/>
        <v>■</v>
      </c>
      <c r="S46" s="199" t="str">
        <f t="shared" si="13"/>
        <v>■</v>
      </c>
      <c r="T46" s="199" t="str">
        <f t="shared" si="13"/>
        <v>■</v>
      </c>
      <c r="U46" s="199" t="str">
        <f t="shared" si="13"/>
        <v>■</v>
      </c>
      <c r="V46" s="177" t="str">
        <f t="shared" si="13"/>
        <v>■</v>
      </c>
      <c r="W46" s="166"/>
      <c r="X46" s="221" t="s">
        <v>133</v>
      </c>
      <c r="Y46" s="222" t="s">
        <v>169</v>
      </c>
      <c r="Z46" s="168">
        <v>46022</v>
      </c>
      <c r="AA46" s="168">
        <v>46386</v>
      </c>
      <c r="AB46" s="199" t="str">
        <f t="shared" si="14"/>
        <v>■</v>
      </c>
      <c r="AC46" s="199" t="str">
        <f t="shared" si="14"/>
        <v>■</v>
      </c>
      <c r="AD46" s="199" t="str">
        <f t="shared" si="14"/>
        <v>■</v>
      </c>
      <c r="AE46" s="199" t="str">
        <f t="shared" si="14"/>
        <v>■</v>
      </c>
      <c r="AF46" s="199" t="str">
        <f t="shared" si="14"/>
        <v>■</v>
      </c>
      <c r="AG46" s="199" t="str">
        <f t="shared" si="14"/>
        <v>■</v>
      </c>
      <c r="AH46" s="199" t="str">
        <f t="shared" si="14"/>
        <v>■</v>
      </c>
      <c r="AI46" s="199" t="str">
        <f t="shared" si="14"/>
        <v>■</v>
      </c>
      <c r="AJ46" s="199" t="str">
        <f t="shared" si="14"/>
        <v>■</v>
      </c>
      <c r="AK46" s="199" t="str">
        <f t="shared" si="14"/>
        <v>■</v>
      </c>
      <c r="AL46" s="199" t="str">
        <f t="shared" si="15"/>
        <v>■</v>
      </c>
      <c r="AM46" s="199" t="str">
        <f t="shared" si="15"/>
        <v>■</v>
      </c>
      <c r="AN46" s="199" t="str">
        <f t="shared" si="15"/>
        <v>■</v>
      </c>
      <c r="AO46" s="199" t="str">
        <f t="shared" si="15"/>
        <v>■</v>
      </c>
      <c r="AP46" s="199" t="str">
        <f t="shared" si="15"/>
        <v>■</v>
      </c>
      <c r="AQ46" s="199" t="str">
        <f t="shared" si="15"/>
        <v>■</v>
      </c>
      <c r="AR46" s="199" t="str">
        <f t="shared" si="15"/>
        <v>■</v>
      </c>
      <c r="AS46" s="177" t="str">
        <f t="shared" si="15"/>
        <v>■</v>
      </c>
      <c r="AT46" s="204" t="s">
        <v>49</v>
      </c>
      <c r="AU46" s="235" t="s">
        <v>170</v>
      </c>
      <c r="AV46" s="235" t="s">
        <v>171</v>
      </c>
      <c r="AW46" s="205" t="s">
        <v>172</v>
      </c>
    </row>
    <row r="47" spans="1:49" ht="22.5" customHeight="1">
      <c r="A47" s="175" t="s">
        <v>20</v>
      </c>
      <c r="B47" s="169" t="s">
        <v>99</v>
      </c>
      <c r="C47" s="170">
        <v>46143</v>
      </c>
      <c r="D47" s="170">
        <v>46264</v>
      </c>
      <c r="E47" s="199" t="str">
        <f t="shared" si="12"/>
        <v>■</v>
      </c>
      <c r="F47" s="199" t="str">
        <f t="shared" si="12"/>
        <v>■</v>
      </c>
      <c r="G47" s="199" t="str">
        <f t="shared" si="12"/>
        <v>■</v>
      </c>
      <c r="H47" s="199" t="str">
        <f t="shared" si="12"/>
        <v>■</v>
      </c>
      <c r="I47" s="199" t="str">
        <f t="shared" si="12"/>
        <v>■</v>
      </c>
      <c r="J47" s="199" t="str">
        <f t="shared" si="12"/>
        <v>■</v>
      </c>
      <c r="K47" s="199" t="str">
        <f t="shared" si="12"/>
        <v>■</v>
      </c>
      <c r="L47" s="199" t="str">
        <f t="shared" si="12"/>
        <v>■</v>
      </c>
      <c r="M47" s="199" t="str">
        <f t="shared" si="12"/>
        <v>■</v>
      </c>
      <c r="N47" s="199" t="str">
        <f t="shared" si="12"/>
        <v>■</v>
      </c>
      <c r="O47" s="199" t="str">
        <f t="shared" si="13"/>
        <v>■</v>
      </c>
      <c r="P47" s="199" t="str">
        <f t="shared" si="13"/>
        <v>■</v>
      </c>
      <c r="Q47" s="199" t="str">
        <f t="shared" si="13"/>
        <v>■</v>
      </c>
      <c r="R47" s="199" t="str">
        <f t="shared" si="13"/>
        <v>■</v>
      </c>
      <c r="S47" s="199" t="str">
        <f t="shared" si="13"/>
        <v>■</v>
      </c>
      <c r="T47" s="199" t="str">
        <f t="shared" si="13"/>
        <v>■</v>
      </c>
      <c r="U47" s="199" t="str">
        <f t="shared" si="13"/>
        <v>■</v>
      </c>
      <c r="V47" s="177" t="str">
        <f t="shared" si="13"/>
        <v>■</v>
      </c>
      <c r="W47" s="166"/>
      <c r="X47" s="221" t="s">
        <v>22</v>
      </c>
      <c r="Y47" s="222" t="s">
        <v>173</v>
      </c>
      <c r="Z47" s="168">
        <v>46022</v>
      </c>
      <c r="AA47" s="168">
        <v>46386</v>
      </c>
      <c r="AB47" s="171" t="str">
        <f t="shared" si="14"/>
        <v>■</v>
      </c>
      <c r="AC47" s="171" t="str">
        <f t="shared" si="14"/>
        <v>■</v>
      </c>
      <c r="AD47" s="171" t="str">
        <f t="shared" si="14"/>
        <v>■</v>
      </c>
      <c r="AE47" s="171" t="str">
        <f t="shared" si="14"/>
        <v>■</v>
      </c>
      <c r="AF47" s="171" t="str">
        <f t="shared" si="14"/>
        <v>■</v>
      </c>
      <c r="AG47" s="171" t="str">
        <f t="shared" si="14"/>
        <v>■</v>
      </c>
      <c r="AH47" s="171" t="str">
        <f t="shared" si="14"/>
        <v>■</v>
      </c>
      <c r="AI47" s="171" t="str">
        <f t="shared" si="14"/>
        <v>■</v>
      </c>
      <c r="AJ47" s="171" t="str">
        <f t="shared" si="14"/>
        <v>■</v>
      </c>
      <c r="AK47" s="171" t="str">
        <f t="shared" si="14"/>
        <v>■</v>
      </c>
      <c r="AL47" s="171" t="str">
        <f t="shared" si="15"/>
        <v>■</v>
      </c>
      <c r="AM47" s="171" t="str">
        <f t="shared" si="15"/>
        <v>■</v>
      </c>
      <c r="AN47" s="171" t="str">
        <f t="shared" si="15"/>
        <v>■</v>
      </c>
      <c r="AO47" s="171" t="str">
        <f t="shared" si="15"/>
        <v>■</v>
      </c>
      <c r="AP47" s="171" t="str">
        <f t="shared" si="15"/>
        <v>■</v>
      </c>
      <c r="AQ47" s="171" t="str">
        <f t="shared" si="15"/>
        <v>■</v>
      </c>
      <c r="AR47" s="171" t="str">
        <f t="shared" si="15"/>
        <v>■</v>
      </c>
      <c r="AS47" s="178" t="str">
        <f t="shared" si="15"/>
        <v>■</v>
      </c>
      <c r="AT47" s="204" t="s">
        <v>51</v>
      </c>
      <c r="AU47" s="235" t="s">
        <v>174</v>
      </c>
      <c r="AV47" s="235" t="s">
        <v>175</v>
      </c>
      <c r="AW47" s="205" t="s">
        <v>168</v>
      </c>
    </row>
    <row r="48" spans="1:49" ht="22.5" customHeight="1">
      <c r="A48" s="175" t="s">
        <v>20</v>
      </c>
      <c r="B48" s="169" t="s">
        <v>100</v>
      </c>
      <c r="C48" s="170">
        <v>46204</v>
      </c>
      <c r="D48" s="170">
        <v>46264</v>
      </c>
      <c r="E48" s="199" t="str">
        <f t="shared" si="12"/>
        <v/>
      </c>
      <c r="F48" s="199" t="str">
        <f t="shared" si="12"/>
        <v/>
      </c>
      <c r="G48" s="199" t="str">
        <f t="shared" si="12"/>
        <v/>
      </c>
      <c r="H48" s="199" t="str">
        <f t="shared" si="12"/>
        <v/>
      </c>
      <c r="I48" s="199" t="str">
        <f t="shared" si="12"/>
        <v/>
      </c>
      <c r="J48" s="199" t="str">
        <f t="shared" si="12"/>
        <v/>
      </c>
      <c r="K48" s="199" t="str">
        <f t="shared" si="12"/>
        <v/>
      </c>
      <c r="L48" s="199" t="str">
        <f t="shared" si="12"/>
        <v/>
      </c>
      <c r="M48" s="199" t="str">
        <f t="shared" si="12"/>
        <v/>
      </c>
      <c r="N48" s="199" t="str">
        <f t="shared" si="12"/>
        <v>■</v>
      </c>
      <c r="O48" s="199" t="str">
        <f t="shared" si="13"/>
        <v>■</v>
      </c>
      <c r="P48" s="199" t="str">
        <f t="shared" si="13"/>
        <v>■</v>
      </c>
      <c r="Q48" s="199" t="str">
        <f t="shared" si="13"/>
        <v>■</v>
      </c>
      <c r="R48" s="199" t="str">
        <f t="shared" si="13"/>
        <v>■</v>
      </c>
      <c r="S48" s="199" t="str">
        <f t="shared" si="13"/>
        <v>■</v>
      </c>
      <c r="T48" s="199" t="str">
        <f t="shared" si="13"/>
        <v>■</v>
      </c>
      <c r="U48" s="199" t="str">
        <f t="shared" si="13"/>
        <v>■</v>
      </c>
      <c r="V48" s="177" t="str">
        <f t="shared" si="13"/>
        <v>■</v>
      </c>
      <c r="W48" s="166"/>
      <c r="X48" s="221" t="s">
        <v>22</v>
      </c>
      <c r="Y48" s="222" t="s">
        <v>169</v>
      </c>
      <c r="Z48" s="168">
        <v>46022</v>
      </c>
      <c r="AA48" s="168">
        <v>46386</v>
      </c>
      <c r="AB48" s="171" t="str">
        <f t="shared" si="14"/>
        <v>■</v>
      </c>
      <c r="AC48" s="171" t="str">
        <f t="shared" si="14"/>
        <v>■</v>
      </c>
      <c r="AD48" s="171" t="str">
        <f t="shared" si="14"/>
        <v>■</v>
      </c>
      <c r="AE48" s="171" t="str">
        <f t="shared" si="14"/>
        <v>■</v>
      </c>
      <c r="AF48" s="171" t="str">
        <f t="shared" si="14"/>
        <v>■</v>
      </c>
      <c r="AG48" s="171" t="str">
        <f t="shared" si="14"/>
        <v>■</v>
      </c>
      <c r="AH48" s="171" t="str">
        <f t="shared" si="14"/>
        <v>■</v>
      </c>
      <c r="AI48" s="171" t="str">
        <f t="shared" si="14"/>
        <v>■</v>
      </c>
      <c r="AJ48" s="171" t="str">
        <f t="shared" si="14"/>
        <v>■</v>
      </c>
      <c r="AK48" s="171" t="str">
        <f t="shared" si="14"/>
        <v>■</v>
      </c>
      <c r="AL48" s="171" t="str">
        <f t="shared" si="15"/>
        <v>■</v>
      </c>
      <c r="AM48" s="171" t="str">
        <f t="shared" si="15"/>
        <v>■</v>
      </c>
      <c r="AN48" s="171" t="str">
        <f t="shared" si="15"/>
        <v>■</v>
      </c>
      <c r="AO48" s="171" t="str">
        <f t="shared" si="15"/>
        <v>■</v>
      </c>
      <c r="AP48" s="171" t="str">
        <f t="shared" si="15"/>
        <v>■</v>
      </c>
      <c r="AQ48" s="171" t="str">
        <f t="shared" si="15"/>
        <v>■</v>
      </c>
      <c r="AR48" s="171" t="str">
        <f t="shared" si="15"/>
        <v>■</v>
      </c>
      <c r="AS48" s="178" t="str">
        <f t="shared" si="15"/>
        <v>■</v>
      </c>
      <c r="AT48" s="204" t="s">
        <v>49</v>
      </c>
      <c r="AU48" s="235" t="s">
        <v>176</v>
      </c>
      <c r="AV48" s="235" t="s">
        <v>171</v>
      </c>
      <c r="AW48" s="205" t="s">
        <v>172</v>
      </c>
    </row>
    <row r="49" spans="1:49" ht="22.5" customHeight="1">
      <c r="A49" s="175" t="s">
        <v>22</v>
      </c>
      <c r="B49" s="169" t="s">
        <v>97</v>
      </c>
      <c r="C49" s="170">
        <v>46143</v>
      </c>
      <c r="D49" s="170">
        <v>46264</v>
      </c>
      <c r="E49" s="171" t="str">
        <f t="shared" si="12"/>
        <v>■</v>
      </c>
      <c r="F49" s="171" t="str">
        <f t="shared" si="12"/>
        <v>■</v>
      </c>
      <c r="G49" s="171" t="str">
        <f t="shared" si="12"/>
        <v>■</v>
      </c>
      <c r="H49" s="171" t="str">
        <f t="shared" si="12"/>
        <v>■</v>
      </c>
      <c r="I49" s="171" t="str">
        <f t="shared" si="12"/>
        <v>■</v>
      </c>
      <c r="J49" s="171" t="str">
        <f t="shared" si="12"/>
        <v>■</v>
      </c>
      <c r="K49" s="171" t="str">
        <f t="shared" si="12"/>
        <v>■</v>
      </c>
      <c r="L49" s="171" t="str">
        <f t="shared" si="12"/>
        <v>■</v>
      </c>
      <c r="M49" s="171" t="str">
        <f t="shared" si="12"/>
        <v>■</v>
      </c>
      <c r="N49" s="171" t="str">
        <f t="shared" si="12"/>
        <v>■</v>
      </c>
      <c r="O49" s="171" t="str">
        <f t="shared" si="13"/>
        <v>■</v>
      </c>
      <c r="P49" s="171" t="str">
        <f t="shared" si="13"/>
        <v>■</v>
      </c>
      <c r="Q49" s="171" t="str">
        <f t="shared" si="13"/>
        <v>■</v>
      </c>
      <c r="R49" s="171" t="str">
        <f t="shared" si="13"/>
        <v>■</v>
      </c>
      <c r="S49" s="171" t="str">
        <f t="shared" si="13"/>
        <v>■</v>
      </c>
      <c r="T49" s="171" t="str">
        <f t="shared" si="13"/>
        <v>■</v>
      </c>
      <c r="U49" s="171" t="str">
        <f t="shared" si="13"/>
        <v>■</v>
      </c>
      <c r="V49" s="178" t="str">
        <f t="shared" si="13"/>
        <v>■</v>
      </c>
      <c r="W49" s="166"/>
      <c r="X49" s="221" t="s">
        <v>28</v>
      </c>
      <c r="Y49" s="222" t="s">
        <v>177</v>
      </c>
      <c r="Z49" s="168">
        <v>46022</v>
      </c>
      <c r="AA49" s="168">
        <v>46386</v>
      </c>
      <c r="AB49" s="200" t="str">
        <f t="shared" si="14"/>
        <v>■</v>
      </c>
      <c r="AC49" s="200" t="str">
        <f t="shared" si="14"/>
        <v>■</v>
      </c>
      <c r="AD49" s="200" t="str">
        <f t="shared" si="14"/>
        <v>■</v>
      </c>
      <c r="AE49" s="200" t="str">
        <f t="shared" si="14"/>
        <v>■</v>
      </c>
      <c r="AF49" s="200" t="str">
        <f t="shared" si="14"/>
        <v>■</v>
      </c>
      <c r="AG49" s="200" t="str">
        <f t="shared" si="14"/>
        <v>■</v>
      </c>
      <c r="AH49" s="200" t="str">
        <f t="shared" si="14"/>
        <v>■</v>
      </c>
      <c r="AI49" s="200" t="str">
        <f t="shared" si="14"/>
        <v>■</v>
      </c>
      <c r="AJ49" s="200" t="str">
        <f t="shared" si="14"/>
        <v>■</v>
      </c>
      <c r="AK49" s="200" t="str">
        <f t="shared" si="14"/>
        <v>■</v>
      </c>
      <c r="AL49" s="200" t="str">
        <f t="shared" si="15"/>
        <v>■</v>
      </c>
      <c r="AM49" s="200" t="str">
        <f t="shared" si="15"/>
        <v>■</v>
      </c>
      <c r="AN49" s="200" t="str">
        <f t="shared" si="15"/>
        <v>■</v>
      </c>
      <c r="AO49" s="200" t="str">
        <f t="shared" si="15"/>
        <v>■</v>
      </c>
      <c r="AP49" s="200" t="str">
        <f t="shared" si="15"/>
        <v>■</v>
      </c>
      <c r="AQ49" s="200" t="str">
        <f t="shared" si="15"/>
        <v>■</v>
      </c>
      <c r="AR49" s="200" t="str">
        <f t="shared" si="15"/>
        <v>■</v>
      </c>
      <c r="AS49" s="179" t="str">
        <f t="shared" si="15"/>
        <v>■</v>
      </c>
      <c r="AT49" s="204" t="s">
        <v>178</v>
      </c>
      <c r="AU49" s="235" t="s">
        <v>179</v>
      </c>
      <c r="AV49" s="235" t="s">
        <v>167</v>
      </c>
      <c r="AW49" s="205" t="s">
        <v>168</v>
      </c>
    </row>
    <row r="50" spans="1:49" ht="22.5" customHeight="1">
      <c r="A50" s="175" t="s">
        <v>22</v>
      </c>
      <c r="B50" s="169" t="s">
        <v>98</v>
      </c>
      <c r="C50" s="170">
        <v>46143</v>
      </c>
      <c r="D50" s="170">
        <v>46264</v>
      </c>
      <c r="E50" s="171" t="str">
        <f t="shared" si="12"/>
        <v>■</v>
      </c>
      <c r="F50" s="171" t="str">
        <f t="shared" si="12"/>
        <v>■</v>
      </c>
      <c r="G50" s="171" t="str">
        <f t="shared" si="12"/>
        <v>■</v>
      </c>
      <c r="H50" s="171" t="str">
        <f t="shared" si="12"/>
        <v>■</v>
      </c>
      <c r="I50" s="171" t="str">
        <f t="shared" si="12"/>
        <v>■</v>
      </c>
      <c r="J50" s="171" t="str">
        <f t="shared" si="12"/>
        <v>■</v>
      </c>
      <c r="K50" s="171" t="str">
        <f t="shared" si="12"/>
        <v>■</v>
      </c>
      <c r="L50" s="171" t="str">
        <f t="shared" si="12"/>
        <v>■</v>
      </c>
      <c r="M50" s="171" t="str">
        <f t="shared" si="12"/>
        <v>■</v>
      </c>
      <c r="N50" s="171" t="str">
        <f t="shared" si="12"/>
        <v>■</v>
      </c>
      <c r="O50" s="171" t="str">
        <f t="shared" si="13"/>
        <v>■</v>
      </c>
      <c r="P50" s="171" t="str">
        <f t="shared" si="13"/>
        <v>■</v>
      </c>
      <c r="Q50" s="171" t="str">
        <f t="shared" si="13"/>
        <v>■</v>
      </c>
      <c r="R50" s="171" t="str">
        <f t="shared" si="13"/>
        <v>■</v>
      </c>
      <c r="S50" s="171" t="str">
        <f t="shared" si="13"/>
        <v>■</v>
      </c>
      <c r="T50" s="171" t="str">
        <f t="shared" si="13"/>
        <v>■</v>
      </c>
      <c r="U50" s="171" t="str">
        <f t="shared" si="13"/>
        <v>■</v>
      </c>
      <c r="V50" s="178" t="str">
        <f t="shared" si="13"/>
        <v>■</v>
      </c>
      <c r="W50" s="166"/>
      <c r="X50" s="221" t="s">
        <v>28</v>
      </c>
      <c r="Y50" s="222" t="s">
        <v>180</v>
      </c>
      <c r="Z50" s="168">
        <v>46100</v>
      </c>
      <c r="AA50" s="168">
        <v>46179</v>
      </c>
      <c r="AB50" s="200" t="str">
        <f t="shared" si="14"/>
        <v>■</v>
      </c>
      <c r="AC50" s="200" t="str">
        <f t="shared" si="14"/>
        <v>■</v>
      </c>
      <c r="AD50" s="200" t="str">
        <f t="shared" si="14"/>
        <v>■</v>
      </c>
      <c r="AE50" s="200" t="str">
        <f t="shared" si="14"/>
        <v>■</v>
      </c>
      <c r="AF50" s="200" t="str">
        <f t="shared" si="14"/>
        <v>■</v>
      </c>
      <c r="AG50" s="200" t="str">
        <f t="shared" si="14"/>
        <v>■</v>
      </c>
      <c r="AH50" s="200" t="str">
        <f t="shared" si="14"/>
        <v/>
      </c>
      <c r="AI50" s="200" t="str">
        <f t="shared" si="14"/>
        <v/>
      </c>
      <c r="AJ50" s="200" t="str">
        <f t="shared" si="14"/>
        <v/>
      </c>
      <c r="AK50" s="200" t="str">
        <f t="shared" si="14"/>
        <v/>
      </c>
      <c r="AL50" s="200" t="str">
        <f t="shared" si="15"/>
        <v/>
      </c>
      <c r="AM50" s="200" t="str">
        <f t="shared" si="15"/>
        <v/>
      </c>
      <c r="AN50" s="200" t="str">
        <f t="shared" si="15"/>
        <v/>
      </c>
      <c r="AO50" s="200" t="str">
        <f t="shared" si="15"/>
        <v/>
      </c>
      <c r="AP50" s="200" t="str">
        <f t="shared" si="15"/>
        <v/>
      </c>
      <c r="AQ50" s="200" t="str">
        <f t="shared" si="15"/>
        <v/>
      </c>
      <c r="AR50" s="200" t="str">
        <f t="shared" si="15"/>
        <v/>
      </c>
      <c r="AS50" s="179" t="str">
        <f t="shared" si="15"/>
        <v/>
      </c>
      <c r="AT50" s="204" t="s">
        <v>181</v>
      </c>
      <c r="AU50" s="235" t="s">
        <v>182</v>
      </c>
      <c r="AV50" s="235" t="s">
        <v>183</v>
      </c>
      <c r="AW50" s="205" t="s">
        <v>184</v>
      </c>
    </row>
    <row r="51" spans="1:49" ht="22.5" customHeight="1">
      <c r="A51" s="175" t="s">
        <v>22</v>
      </c>
      <c r="B51" s="169" t="s">
        <v>99</v>
      </c>
      <c r="C51" s="170">
        <v>46143</v>
      </c>
      <c r="D51" s="170">
        <v>46264</v>
      </c>
      <c r="E51" s="171" t="str">
        <f t="shared" si="12"/>
        <v>■</v>
      </c>
      <c r="F51" s="171" t="str">
        <f t="shared" si="12"/>
        <v>■</v>
      </c>
      <c r="G51" s="171" t="str">
        <f t="shared" si="12"/>
        <v>■</v>
      </c>
      <c r="H51" s="171" t="str">
        <f t="shared" si="12"/>
        <v>■</v>
      </c>
      <c r="I51" s="171" t="str">
        <f t="shared" si="12"/>
        <v>■</v>
      </c>
      <c r="J51" s="171" t="str">
        <f t="shared" si="12"/>
        <v>■</v>
      </c>
      <c r="K51" s="171" t="str">
        <f t="shared" si="12"/>
        <v>■</v>
      </c>
      <c r="L51" s="171" t="str">
        <f t="shared" si="12"/>
        <v>■</v>
      </c>
      <c r="M51" s="171" t="str">
        <f t="shared" si="12"/>
        <v>■</v>
      </c>
      <c r="N51" s="171" t="str">
        <f t="shared" si="12"/>
        <v>■</v>
      </c>
      <c r="O51" s="171" t="str">
        <f t="shared" si="13"/>
        <v>■</v>
      </c>
      <c r="P51" s="171" t="str">
        <f t="shared" si="13"/>
        <v>■</v>
      </c>
      <c r="Q51" s="171" t="str">
        <f t="shared" si="13"/>
        <v>■</v>
      </c>
      <c r="R51" s="171" t="str">
        <f t="shared" si="13"/>
        <v>■</v>
      </c>
      <c r="S51" s="171" t="str">
        <f t="shared" si="13"/>
        <v>■</v>
      </c>
      <c r="T51" s="171" t="str">
        <f t="shared" si="13"/>
        <v>■</v>
      </c>
      <c r="U51" s="171" t="str">
        <f t="shared" si="13"/>
        <v>■</v>
      </c>
      <c r="V51" s="178" t="str">
        <f t="shared" si="13"/>
        <v>■</v>
      </c>
      <c r="W51" s="166"/>
      <c r="X51" s="226" t="s">
        <v>28</v>
      </c>
      <c r="Y51" s="227" t="s">
        <v>185</v>
      </c>
      <c r="Z51" s="228">
        <v>46081</v>
      </c>
      <c r="AA51" s="228">
        <v>46202</v>
      </c>
      <c r="AB51" s="174" t="str">
        <f t="shared" si="14"/>
        <v>■</v>
      </c>
      <c r="AC51" s="174" t="str">
        <f t="shared" si="14"/>
        <v>■</v>
      </c>
      <c r="AD51" s="174" t="str">
        <f t="shared" si="14"/>
        <v>■</v>
      </c>
      <c r="AE51" s="174" t="str">
        <f t="shared" si="14"/>
        <v>■</v>
      </c>
      <c r="AF51" s="174" t="str">
        <f t="shared" si="14"/>
        <v>■</v>
      </c>
      <c r="AG51" s="174" t="str">
        <f t="shared" si="14"/>
        <v>■</v>
      </c>
      <c r="AH51" s="174" t="str">
        <f t="shared" si="14"/>
        <v>■</v>
      </c>
      <c r="AI51" s="174" t="str">
        <f t="shared" si="14"/>
        <v>■</v>
      </c>
      <c r="AJ51" s="174" t="str">
        <f t="shared" si="14"/>
        <v>■</v>
      </c>
      <c r="AK51" s="174" t="str">
        <f t="shared" si="14"/>
        <v>■</v>
      </c>
      <c r="AL51" s="174" t="str">
        <f t="shared" si="15"/>
        <v/>
      </c>
      <c r="AM51" s="174" t="str">
        <f t="shared" si="15"/>
        <v/>
      </c>
      <c r="AN51" s="174" t="str">
        <f t="shared" si="15"/>
        <v/>
      </c>
      <c r="AO51" s="174" t="str">
        <f t="shared" si="15"/>
        <v/>
      </c>
      <c r="AP51" s="174" t="str">
        <f t="shared" si="15"/>
        <v/>
      </c>
      <c r="AQ51" s="174" t="str">
        <f t="shared" si="15"/>
        <v/>
      </c>
      <c r="AR51" s="174" t="str">
        <f t="shared" si="15"/>
        <v/>
      </c>
      <c r="AS51" s="180" t="str">
        <f t="shared" si="15"/>
        <v/>
      </c>
      <c r="AT51" s="206" t="s">
        <v>186</v>
      </c>
      <c r="AU51" s="207">
        <v>166</v>
      </c>
      <c r="AV51" s="207" t="s">
        <v>159</v>
      </c>
      <c r="AW51" s="239" t="s">
        <v>172</v>
      </c>
    </row>
    <row r="52" spans="1:49" ht="22.5" customHeight="1">
      <c r="A52" s="175" t="s">
        <v>22</v>
      </c>
      <c r="B52" s="169" t="s">
        <v>100</v>
      </c>
      <c r="C52" s="170">
        <v>46204</v>
      </c>
      <c r="D52" s="170">
        <v>46264</v>
      </c>
      <c r="E52" s="171" t="str">
        <f t="shared" si="12"/>
        <v/>
      </c>
      <c r="F52" s="171" t="str">
        <f t="shared" si="12"/>
        <v/>
      </c>
      <c r="G52" s="171" t="str">
        <f t="shared" si="12"/>
        <v/>
      </c>
      <c r="H52" s="171" t="str">
        <f t="shared" si="12"/>
        <v/>
      </c>
      <c r="I52" s="171" t="str">
        <f t="shared" si="12"/>
        <v/>
      </c>
      <c r="J52" s="171" t="str">
        <f t="shared" si="12"/>
        <v/>
      </c>
      <c r="K52" s="171" t="str">
        <f t="shared" si="12"/>
        <v/>
      </c>
      <c r="L52" s="171" t="str">
        <f t="shared" si="12"/>
        <v/>
      </c>
      <c r="M52" s="171" t="str">
        <f t="shared" si="12"/>
        <v/>
      </c>
      <c r="N52" s="171" t="str">
        <f t="shared" si="12"/>
        <v>■</v>
      </c>
      <c r="O52" s="171" t="str">
        <f t="shared" si="13"/>
        <v>■</v>
      </c>
      <c r="P52" s="171" t="str">
        <f t="shared" si="13"/>
        <v>■</v>
      </c>
      <c r="Q52" s="171" t="str">
        <f t="shared" si="13"/>
        <v>■</v>
      </c>
      <c r="R52" s="171" t="str">
        <f t="shared" si="13"/>
        <v>■</v>
      </c>
      <c r="S52" s="171" t="str">
        <f t="shared" si="13"/>
        <v>■</v>
      </c>
      <c r="T52" s="171" t="str">
        <f t="shared" si="13"/>
        <v>■</v>
      </c>
      <c r="U52" s="171" t="str">
        <f t="shared" si="13"/>
        <v>■</v>
      </c>
      <c r="V52" s="178" t="str">
        <f t="shared" si="13"/>
        <v>■</v>
      </c>
      <c r="W52" s="166"/>
      <c r="X52" s="222"/>
      <c r="Y52" s="222"/>
      <c r="Z52" s="166"/>
      <c r="AT52" s="235"/>
      <c r="AU52" s="235"/>
      <c r="AV52" s="235"/>
      <c r="AW52" s="235"/>
    </row>
    <row r="53" spans="1:49" ht="22.5" customHeight="1">
      <c r="A53" s="175" t="s">
        <v>28</v>
      </c>
      <c r="B53" s="169" t="s">
        <v>97</v>
      </c>
      <c r="C53" s="170">
        <v>46143</v>
      </c>
      <c r="D53" s="170">
        <v>46264</v>
      </c>
      <c r="E53" s="200" t="str">
        <f t="shared" si="12"/>
        <v>■</v>
      </c>
      <c r="F53" s="200" t="str">
        <f t="shared" si="12"/>
        <v>■</v>
      </c>
      <c r="G53" s="200" t="str">
        <f t="shared" si="12"/>
        <v>■</v>
      </c>
      <c r="H53" s="200" t="str">
        <f t="shared" si="12"/>
        <v>■</v>
      </c>
      <c r="I53" s="200" t="str">
        <f t="shared" si="12"/>
        <v>■</v>
      </c>
      <c r="J53" s="200" t="str">
        <f t="shared" si="12"/>
        <v>■</v>
      </c>
      <c r="K53" s="200" t="str">
        <f t="shared" si="12"/>
        <v>■</v>
      </c>
      <c r="L53" s="200" t="str">
        <f t="shared" si="12"/>
        <v>■</v>
      </c>
      <c r="M53" s="200" t="str">
        <f t="shared" si="12"/>
        <v>■</v>
      </c>
      <c r="N53" s="200" t="str">
        <f t="shared" si="12"/>
        <v>■</v>
      </c>
      <c r="O53" s="200" t="str">
        <f t="shared" si="13"/>
        <v>■</v>
      </c>
      <c r="P53" s="200" t="str">
        <f t="shared" si="13"/>
        <v>■</v>
      </c>
      <c r="Q53" s="200" t="str">
        <f t="shared" si="13"/>
        <v>■</v>
      </c>
      <c r="R53" s="200" t="str">
        <f t="shared" si="13"/>
        <v>■</v>
      </c>
      <c r="S53" s="200" t="str">
        <f t="shared" si="13"/>
        <v>■</v>
      </c>
      <c r="T53" s="200" t="str">
        <f t="shared" si="13"/>
        <v>■</v>
      </c>
      <c r="U53" s="200" t="str">
        <f t="shared" si="13"/>
        <v>■</v>
      </c>
      <c r="V53" s="179" t="str">
        <f t="shared" si="13"/>
        <v>■</v>
      </c>
      <c r="W53" s="166"/>
      <c r="X53" s="222"/>
      <c r="Y53" s="222"/>
      <c r="Z53" s="166"/>
      <c r="AT53" s="235"/>
      <c r="AU53" s="235"/>
      <c r="AV53" s="235"/>
      <c r="AW53" s="235"/>
    </row>
    <row r="54" spans="1:49" ht="22.5" customHeight="1">
      <c r="A54" s="175" t="s">
        <v>28</v>
      </c>
      <c r="B54" s="169" t="s">
        <v>98</v>
      </c>
      <c r="C54" s="170">
        <v>46204</v>
      </c>
      <c r="D54" s="170">
        <v>46264</v>
      </c>
      <c r="E54" s="200" t="str">
        <f t="shared" si="12"/>
        <v/>
      </c>
      <c r="F54" s="200" t="str">
        <f t="shared" si="12"/>
        <v/>
      </c>
      <c r="G54" s="200" t="str">
        <f t="shared" si="12"/>
        <v/>
      </c>
      <c r="H54" s="200" t="str">
        <f t="shared" si="12"/>
        <v/>
      </c>
      <c r="I54" s="200" t="str">
        <f t="shared" si="12"/>
        <v/>
      </c>
      <c r="J54" s="200" t="str">
        <f t="shared" si="12"/>
        <v/>
      </c>
      <c r="K54" s="200" t="str">
        <f t="shared" si="12"/>
        <v/>
      </c>
      <c r="L54" s="200" t="str">
        <f t="shared" si="12"/>
        <v/>
      </c>
      <c r="M54" s="200" t="str">
        <f t="shared" si="12"/>
        <v/>
      </c>
      <c r="N54" s="200" t="str">
        <f t="shared" si="12"/>
        <v>■</v>
      </c>
      <c r="O54" s="200" t="str">
        <f t="shared" si="13"/>
        <v>■</v>
      </c>
      <c r="P54" s="200" t="str">
        <f t="shared" si="13"/>
        <v>■</v>
      </c>
      <c r="Q54" s="200" t="str">
        <f t="shared" si="13"/>
        <v>■</v>
      </c>
      <c r="R54" s="200" t="str">
        <f t="shared" si="13"/>
        <v>■</v>
      </c>
      <c r="S54" s="200" t="str">
        <f t="shared" si="13"/>
        <v>■</v>
      </c>
      <c r="T54" s="200" t="str">
        <f t="shared" si="13"/>
        <v>■</v>
      </c>
      <c r="U54" s="200" t="str">
        <f t="shared" si="13"/>
        <v>■</v>
      </c>
      <c r="V54" s="179" t="str">
        <f t="shared" si="13"/>
        <v>■</v>
      </c>
      <c r="W54" s="166"/>
      <c r="X54" s="222"/>
      <c r="Y54" s="222"/>
      <c r="Z54" s="166"/>
      <c r="AT54" s="235"/>
      <c r="AU54" s="235"/>
      <c r="AV54" s="235"/>
      <c r="AW54" s="235"/>
    </row>
    <row r="55" spans="1:49" ht="22.5" customHeight="1">
      <c r="A55" s="175" t="s">
        <v>28</v>
      </c>
      <c r="B55" s="169" t="s">
        <v>99</v>
      </c>
      <c r="C55" s="170">
        <v>46204</v>
      </c>
      <c r="D55" s="170">
        <v>46264</v>
      </c>
      <c r="E55" s="200" t="str">
        <f t="shared" si="12"/>
        <v/>
      </c>
      <c r="F55" s="200" t="str">
        <f t="shared" si="12"/>
        <v/>
      </c>
      <c r="G55" s="200" t="str">
        <f t="shared" si="12"/>
        <v/>
      </c>
      <c r="H55" s="200" t="str">
        <f t="shared" si="12"/>
        <v/>
      </c>
      <c r="I55" s="200" t="str">
        <f t="shared" si="12"/>
        <v/>
      </c>
      <c r="J55" s="200" t="str">
        <f t="shared" si="12"/>
        <v/>
      </c>
      <c r="K55" s="200" t="str">
        <f t="shared" si="12"/>
        <v/>
      </c>
      <c r="L55" s="200" t="str">
        <f t="shared" si="12"/>
        <v/>
      </c>
      <c r="M55" s="200" t="str">
        <f t="shared" si="12"/>
        <v/>
      </c>
      <c r="N55" s="200" t="str">
        <f t="shared" si="12"/>
        <v>■</v>
      </c>
      <c r="O55" s="200" t="str">
        <f t="shared" si="13"/>
        <v>■</v>
      </c>
      <c r="P55" s="200" t="str">
        <f t="shared" si="13"/>
        <v>■</v>
      </c>
      <c r="Q55" s="200" t="str">
        <f t="shared" si="13"/>
        <v>■</v>
      </c>
      <c r="R55" s="200" t="str">
        <f t="shared" si="13"/>
        <v>■</v>
      </c>
      <c r="S55" s="200" t="str">
        <f t="shared" si="13"/>
        <v>■</v>
      </c>
      <c r="T55" s="200" t="str">
        <f t="shared" si="13"/>
        <v>■</v>
      </c>
      <c r="U55" s="200" t="str">
        <f t="shared" si="13"/>
        <v>■</v>
      </c>
      <c r="V55" s="179" t="str">
        <f t="shared" si="13"/>
        <v>■</v>
      </c>
      <c r="W55" s="166"/>
      <c r="X55" s="222"/>
      <c r="Y55" s="222"/>
      <c r="Z55" s="166"/>
      <c r="AT55" s="235"/>
      <c r="AU55" s="235"/>
      <c r="AV55" s="235"/>
      <c r="AW55" s="235"/>
    </row>
    <row r="56" spans="1:49" ht="22.5" customHeight="1">
      <c r="A56" s="176" t="s">
        <v>28</v>
      </c>
      <c r="B56" s="172" t="s">
        <v>100</v>
      </c>
      <c r="C56" s="173">
        <v>46204</v>
      </c>
      <c r="D56" s="173">
        <v>46264</v>
      </c>
      <c r="E56" s="174" t="str">
        <f t="shared" si="12"/>
        <v/>
      </c>
      <c r="F56" s="174" t="str">
        <f t="shared" si="12"/>
        <v/>
      </c>
      <c r="G56" s="174" t="str">
        <f t="shared" si="12"/>
        <v/>
      </c>
      <c r="H56" s="174" t="str">
        <f t="shared" si="12"/>
        <v/>
      </c>
      <c r="I56" s="174" t="str">
        <f t="shared" si="12"/>
        <v/>
      </c>
      <c r="J56" s="174" t="str">
        <f t="shared" si="12"/>
        <v/>
      </c>
      <c r="K56" s="174" t="str">
        <f t="shared" si="12"/>
        <v/>
      </c>
      <c r="L56" s="174" t="str">
        <f t="shared" si="12"/>
        <v/>
      </c>
      <c r="M56" s="174" t="str">
        <f t="shared" si="12"/>
        <v/>
      </c>
      <c r="N56" s="174" t="str">
        <f t="shared" si="12"/>
        <v>■</v>
      </c>
      <c r="O56" s="174" t="str">
        <f t="shared" si="13"/>
        <v>■</v>
      </c>
      <c r="P56" s="174" t="str">
        <f t="shared" si="13"/>
        <v>■</v>
      </c>
      <c r="Q56" s="174" t="str">
        <f t="shared" si="13"/>
        <v>■</v>
      </c>
      <c r="R56" s="174" t="str">
        <f t="shared" si="13"/>
        <v>■</v>
      </c>
      <c r="S56" s="174" t="str">
        <f t="shared" si="13"/>
        <v>■</v>
      </c>
      <c r="T56" s="174" t="str">
        <f t="shared" si="13"/>
        <v>■</v>
      </c>
      <c r="U56" s="174" t="str">
        <f t="shared" si="13"/>
        <v>■</v>
      </c>
      <c r="V56" s="180" t="str">
        <f t="shared" si="13"/>
        <v>■</v>
      </c>
      <c r="W56" s="166"/>
      <c r="X56" s="222"/>
      <c r="Y56" s="222"/>
      <c r="Z56" s="166"/>
      <c r="AT56" s="235"/>
      <c r="AU56" s="235"/>
      <c r="AV56" s="235"/>
      <c r="AW56" s="235"/>
    </row>
    <row r="57" spans="1:49" s="208" customFormat="1" ht="22.5" customHeight="1">
      <c r="A57" s="292" t="s">
        <v>187</v>
      </c>
      <c r="B57" s="292"/>
      <c r="C57" s="292"/>
      <c r="D57" s="292"/>
      <c r="E57" s="292"/>
      <c r="F57" s="292"/>
      <c r="G57" s="292"/>
      <c r="H57" s="292"/>
      <c r="I57" s="292"/>
      <c r="J57" s="292"/>
      <c r="K57" s="292"/>
      <c r="L57" s="292"/>
      <c r="M57" s="292"/>
      <c r="N57" s="292"/>
      <c r="O57" s="292"/>
      <c r="P57" s="292"/>
      <c r="Q57" s="292"/>
      <c r="R57" s="292"/>
      <c r="S57" s="292"/>
      <c r="T57" s="292"/>
      <c r="U57" s="292"/>
      <c r="V57" s="292"/>
      <c r="X57" s="294" t="s">
        <v>188</v>
      </c>
      <c r="Y57" s="294"/>
      <c r="Z57" s="294"/>
      <c r="AA57" s="294"/>
      <c r="AB57" s="294"/>
      <c r="AC57" s="294"/>
      <c r="AD57" s="294"/>
      <c r="AE57" s="294"/>
      <c r="AF57" s="294"/>
      <c r="AG57" s="294"/>
      <c r="AH57" s="294"/>
      <c r="AI57" s="294"/>
      <c r="AJ57" s="294"/>
      <c r="AK57" s="294"/>
      <c r="AL57" s="294"/>
      <c r="AM57" s="294"/>
      <c r="AN57" s="294"/>
      <c r="AO57" s="294"/>
      <c r="AP57" s="294"/>
      <c r="AQ57" s="294"/>
      <c r="AR57" s="294"/>
      <c r="AS57" s="294"/>
      <c r="AT57" s="237" t="str" cm="1">
        <f t="array" ref="AT57">_xlfn.LET(_xlpm.mL,A57,_xlpm.aL,B57,_xlpm.mR,X57,_xlpm.aR,Y57,_xlpm.useR,AND(_xlpm.mR&lt;&gt;"",_xlpm.mR&lt;&gt;"Model",LEFT(_xlpm.mR,6)&lt;&gt;"Markt:"),_xlpm.m,IF(_xlpm.useR,_xlpm.mR,_xlpm.mL),_xlpm.a,IF(_xlpm.useR,_xlpm.aR,_xlpm.aL),_xlpm.rng,IF(_xlpm.useR,X$1:X57,A$1:A57),IF(OR(_xlpm.m="",_xlpm.m="Model",LEFT(_xlpm.m,6)="Markt:"),"",_xlfn.LET(_xlpm.mkt,LOOKUP(2,1/(LEFT(_xlpm.rng,6)="Markt:"),_xlpm.rng),_xlpm.mktNameRaw,TRIM(MID(_xlpm.mkt,FIND(":",_xlpm.mkt)+1,99)),_xlpm.mktName,TRIM(SUBSTITUTE(_xlpm.mktNameRaw,"(Survey)","")),_xlfn.XLOOKUP(_xlpm.mktName&amp;"|"&amp;SUBSTITUTE(_xlpm.m," ","")&amp;"|"&amp;_xlpm.a,tblMassnahmen[Key],tblMassnahmen[Kanal],""))))</f>
        <v/>
      </c>
      <c r="AU57" s="237" t="str" cm="1">
        <f t="array" ref="AU57">_xlfn.LET(_xlpm.mL,A57,_xlpm.aL,B57,_xlpm.mR,X57,_xlpm.aR,Y57,_xlpm.useR,AND(_xlpm.mR&lt;&gt;"",_xlpm.mR&lt;&gt;"Model",LEFT(_xlpm.mR,6)&lt;&gt;"Markt:"),_xlpm.m,IF(_xlpm.useR,_xlpm.mR,_xlpm.mL),_xlpm.a,IF(_xlpm.useR,_xlpm.aR,_xlpm.aL),_xlpm.rng,IF(_xlpm.useR,X$1:X57,A$1:A57),IF(OR(_xlpm.m="",_xlpm.m="Model",LEFT(_xlpm.m,6)="Markt:"),"",_xlfn.LET(_xlpm.mkt,LOOKUP(2,1/(LEFT(_xlpm.rng,6)="Markt:"),_xlpm.rng),_xlpm.mktNameRaw,TRIM(MID(_xlpm.mkt,FIND(":",_xlpm.mkt)+1,99)),_xlpm.mktName,TRIM(SUBSTITUTE(_xlpm.mktNameRaw,"(Survey)","")),_xlfn.XLOOKUP(_xlpm.mktName&amp;"|"&amp;SUBSTITUTE(_xlpm.m," ","")&amp;"|"&amp;_xlpm.a,tblMassnahmen[Key],tblMassnahmen[Budget],""))))</f>
        <v/>
      </c>
      <c r="AV57" s="237" t="str" cm="1">
        <f t="array" ref="AV57">_xlfn.LET(_xlpm.mL,A57,_xlpm.aL,B57,_xlpm.mR,X57,_xlpm.aR,Y57,_xlpm.useR,AND(_xlpm.mR&lt;&gt;"",_xlpm.mR&lt;&gt;"Model",LEFT(_xlpm.mR,6)&lt;&gt;"Markt:"),_xlpm.m,IF(_xlpm.useR,_xlpm.mR,_xlpm.mL),_xlpm.a,IF(_xlpm.useR,_xlpm.aR,_xlpm.aL),_xlpm.rng,IF(_xlpm.useR,X$1:X57,A$1:A57),IF(OR(_xlpm.m="",_xlpm.m="Model",LEFT(_xlpm.m,6)="Markt:"),"",_xlfn.LET(_xlpm.mkt,LOOKUP(2,1/(LEFT(_xlpm.rng,6)="Markt:"),_xlpm.rng),_xlpm.mktNameRaw,TRIM(MID(_xlpm.mkt,FIND(":",_xlpm.mkt)+1,99)),_xlpm.mktName,TRIM(SUBSTITUTE(_xlpm.mktNameRaw,"(Survey)","")),_xlfn.XLOOKUP(_xlpm.mktName&amp;"|"&amp;SUBSTITUTE(_xlpm.m," ","")&amp;"|"&amp;_xlpm.a,tblMassnahmen[Key],tblMassnahmen[KPI],""))))</f>
        <v/>
      </c>
      <c r="AW57" s="198"/>
    </row>
    <row r="58" spans="1:49" s="208" customFormat="1" ht="22.5" customHeight="1">
      <c r="A58" s="186" t="s">
        <v>105</v>
      </c>
      <c r="B58" s="187" t="s">
        <v>106</v>
      </c>
      <c r="C58" s="181" t="s">
        <v>95</v>
      </c>
      <c r="D58" s="181" t="s">
        <v>96</v>
      </c>
      <c r="E58" s="184" t="s">
        <v>107</v>
      </c>
      <c r="F58" s="184" t="s">
        <v>108</v>
      </c>
      <c r="G58" s="184" t="s">
        <v>109</v>
      </c>
      <c r="H58" s="184" t="s">
        <v>110</v>
      </c>
      <c r="I58" s="184" t="s">
        <v>111</v>
      </c>
      <c r="J58" s="184" t="s">
        <v>112</v>
      </c>
      <c r="K58" s="184" t="s">
        <v>113</v>
      </c>
      <c r="L58" s="184" t="s">
        <v>114</v>
      </c>
      <c r="M58" s="184" t="s">
        <v>115</v>
      </c>
      <c r="N58" s="184" t="s">
        <v>116</v>
      </c>
      <c r="O58" s="184" t="s">
        <v>117</v>
      </c>
      <c r="P58" s="184" t="s">
        <v>118</v>
      </c>
      <c r="Q58" s="184" t="s">
        <v>119</v>
      </c>
      <c r="R58" s="184" t="s">
        <v>120</v>
      </c>
      <c r="S58" s="184" t="s">
        <v>121</v>
      </c>
      <c r="T58" s="184" t="s">
        <v>122</v>
      </c>
      <c r="U58" s="184" t="s">
        <v>123</v>
      </c>
      <c r="V58" s="185" t="s">
        <v>124</v>
      </c>
      <c r="X58" s="219" t="s">
        <v>105</v>
      </c>
      <c r="Y58" s="220" t="s">
        <v>125</v>
      </c>
      <c r="Z58" s="184" t="s">
        <v>95</v>
      </c>
      <c r="AA58" s="184" t="s">
        <v>96</v>
      </c>
      <c r="AB58" s="184" t="s">
        <v>107</v>
      </c>
      <c r="AC58" s="184" t="s">
        <v>108</v>
      </c>
      <c r="AD58" s="184" t="s">
        <v>109</v>
      </c>
      <c r="AE58" s="184" t="s">
        <v>110</v>
      </c>
      <c r="AF58" s="184" t="s">
        <v>111</v>
      </c>
      <c r="AG58" s="184" t="s">
        <v>112</v>
      </c>
      <c r="AH58" s="184" t="s">
        <v>113</v>
      </c>
      <c r="AI58" s="184" t="s">
        <v>114</v>
      </c>
      <c r="AJ58" s="184" t="s">
        <v>115</v>
      </c>
      <c r="AK58" s="184" t="s">
        <v>116</v>
      </c>
      <c r="AL58" s="184" t="s">
        <v>117</v>
      </c>
      <c r="AM58" s="184" t="s">
        <v>118</v>
      </c>
      <c r="AN58" s="184" t="s">
        <v>119</v>
      </c>
      <c r="AO58" s="184" t="s">
        <v>120</v>
      </c>
      <c r="AP58" s="184" t="s">
        <v>121</v>
      </c>
      <c r="AQ58" s="184" t="s">
        <v>122</v>
      </c>
      <c r="AR58" s="184" t="s">
        <v>123</v>
      </c>
      <c r="AS58" s="185" t="s">
        <v>124</v>
      </c>
      <c r="AT58" s="202" t="s">
        <v>126</v>
      </c>
      <c r="AU58" s="201" t="s">
        <v>127</v>
      </c>
      <c r="AV58" s="201" t="s">
        <v>128</v>
      </c>
      <c r="AW58" s="203" t="s">
        <v>129</v>
      </c>
    </row>
    <row r="59" spans="1:49" ht="22.5" customHeight="1">
      <c r="A59" s="175" t="s">
        <v>20</v>
      </c>
      <c r="B59" s="169" t="s">
        <v>97</v>
      </c>
      <c r="C59" s="170">
        <v>46143</v>
      </c>
      <c r="D59" s="170">
        <v>46264</v>
      </c>
      <c r="E59" s="199" t="str">
        <f t="shared" ref="E59:N70" si="16">IFERROR(IF(OR($A59="",$A59="Model",LEFT($A59,5)="Markt"),"",IF(AND($C59&lt;=E$3+6,$D59&gt;=E$3),"■","")),"")</f>
        <v>■</v>
      </c>
      <c r="F59" s="199" t="str">
        <f t="shared" si="16"/>
        <v>■</v>
      </c>
      <c r="G59" s="199" t="str">
        <f t="shared" si="16"/>
        <v>■</v>
      </c>
      <c r="H59" s="199" t="str">
        <f t="shared" si="16"/>
        <v>■</v>
      </c>
      <c r="I59" s="199" t="str">
        <f t="shared" si="16"/>
        <v>■</v>
      </c>
      <c r="J59" s="199" t="str">
        <f t="shared" si="16"/>
        <v>■</v>
      </c>
      <c r="K59" s="199" t="str">
        <f t="shared" si="16"/>
        <v>■</v>
      </c>
      <c r="L59" s="199" t="str">
        <f t="shared" si="16"/>
        <v>■</v>
      </c>
      <c r="M59" s="199" t="str">
        <f t="shared" si="16"/>
        <v>■</v>
      </c>
      <c r="N59" s="199" t="str">
        <f t="shared" si="16"/>
        <v>■</v>
      </c>
      <c r="O59" s="199" t="str">
        <f t="shared" ref="O59:V70" si="17">IFERROR(IF(OR($A59="",$A59="Model",LEFT($A59,5)="Markt"),"",IF(AND($C59&lt;=O$3+6,$D59&gt;=O$3),"■","")),"")</f>
        <v>■</v>
      </c>
      <c r="P59" s="199" t="str">
        <f t="shared" si="17"/>
        <v>■</v>
      </c>
      <c r="Q59" s="199" t="str">
        <f t="shared" si="17"/>
        <v>■</v>
      </c>
      <c r="R59" s="199" t="str">
        <f t="shared" si="17"/>
        <v>■</v>
      </c>
      <c r="S59" s="199" t="str">
        <f t="shared" si="17"/>
        <v>■</v>
      </c>
      <c r="T59" s="199" t="str">
        <f t="shared" si="17"/>
        <v>■</v>
      </c>
      <c r="U59" s="199" t="str">
        <f t="shared" si="17"/>
        <v>■</v>
      </c>
      <c r="V59" s="177" t="str">
        <f t="shared" si="17"/>
        <v>■</v>
      </c>
      <c r="W59" s="166"/>
      <c r="X59" s="211" t="s">
        <v>133</v>
      </c>
      <c r="Y59" s="214" t="s">
        <v>189</v>
      </c>
      <c r="Z59" s="215">
        <v>46067</v>
      </c>
      <c r="AA59" s="215">
        <v>46386</v>
      </c>
      <c r="AB59" s="199" t="str">
        <f t="shared" ref="AB59:AK61" si="18">IF(AND($Z59&lt;=(AB$3+6),$AA59&gt;=AB$3),"■","")</f>
        <v>■</v>
      </c>
      <c r="AC59" s="199" t="str">
        <f t="shared" si="18"/>
        <v>■</v>
      </c>
      <c r="AD59" s="199" t="str">
        <f t="shared" si="18"/>
        <v>■</v>
      </c>
      <c r="AE59" s="199" t="str">
        <f t="shared" si="18"/>
        <v>■</v>
      </c>
      <c r="AF59" s="199" t="str">
        <f t="shared" si="18"/>
        <v>■</v>
      </c>
      <c r="AG59" s="199" t="str">
        <f t="shared" si="18"/>
        <v>■</v>
      </c>
      <c r="AH59" s="199" t="str">
        <f t="shared" si="18"/>
        <v>■</v>
      </c>
      <c r="AI59" s="199" t="str">
        <f t="shared" si="18"/>
        <v>■</v>
      </c>
      <c r="AJ59" s="199" t="str">
        <f t="shared" si="18"/>
        <v>■</v>
      </c>
      <c r="AK59" s="199" t="str">
        <f t="shared" si="18"/>
        <v>■</v>
      </c>
      <c r="AL59" s="199" t="str">
        <f t="shared" ref="AL59:AS61" si="19">IF(AND($Z59&lt;=(AL$3+6),$AA59&gt;=AL$3),"■","")</f>
        <v>■</v>
      </c>
      <c r="AM59" s="199" t="str">
        <f t="shared" si="19"/>
        <v>■</v>
      </c>
      <c r="AN59" s="199" t="str">
        <f t="shared" si="19"/>
        <v>■</v>
      </c>
      <c r="AO59" s="199" t="str">
        <f t="shared" si="19"/>
        <v>■</v>
      </c>
      <c r="AP59" s="199" t="str">
        <f t="shared" si="19"/>
        <v>■</v>
      </c>
      <c r="AQ59" s="199" t="str">
        <f t="shared" si="19"/>
        <v>■</v>
      </c>
      <c r="AR59" s="199" t="str">
        <f t="shared" si="19"/>
        <v>■</v>
      </c>
      <c r="AS59" s="177" t="str">
        <f t="shared" si="19"/>
        <v>■</v>
      </c>
      <c r="AT59" s="204" t="s">
        <v>141</v>
      </c>
      <c r="AU59" s="235">
        <v>190</v>
      </c>
      <c r="AV59" s="235" t="s">
        <v>190</v>
      </c>
      <c r="AW59" s="205" t="s">
        <v>191</v>
      </c>
    </row>
    <row r="60" spans="1:49" ht="22.5" customHeight="1">
      <c r="A60" s="175" t="s">
        <v>20</v>
      </c>
      <c r="B60" s="169" t="s">
        <v>98</v>
      </c>
      <c r="C60" s="170">
        <v>46174</v>
      </c>
      <c r="D60" s="170">
        <v>46264</v>
      </c>
      <c r="E60" s="199" t="str">
        <f t="shared" si="16"/>
        <v/>
      </c>
      <c r="F60" s="199" t="str">
        <f t="shared" si="16"/>
        <v/>
      </c>
      <c r="G60" s="199" t="str">
        <f t="shared" si="16"/>
        <v/>
      </c>
      <c r="H60" s="199" t="str">
        <f t="shared" si="16"/>
        <v/>
      </c>
      <c r="I60" s="199" t="str">
        <f t="shared" si="16"/>
        <v/>
      </c>
      <c r="J60" s="199" t="str">
        <f t="shared" si="16"/>
        <v>■</v>
      </c>
      <c r="K60" s="199" t="str">
        <f t="shared" si="16"/>
        <v>■</v>
      </c>
      <c r="L60" s="199" t="str">
        <f t="shared" si="16"/>
        <v>■</v>
      </c>
      <c r="M60" s="199" t="str">
        <f t="shared" si="16"/>
        <v>■</v>
      </c>
      <c r="N60" s="199" t="str">
        <f t="shared" si="16"/>
        <v>■</v>
      </c>
      <c r="O60" s="199" t="str">
        <f t="shared" si="17"/>
        <v>■</v>
      </c>
      <c r="P60" s="199" t="str">
        <f t="shared" si="17"/>
        <v>■</v>
      </c>
      <c r="Q60" s="199" t="str">
        <f t="shared" si="17"/>
        <v>■</v>
      </c>
      <c r="R60" s="199" t="str">
        <f t="shared" si="17"/>
        <v>■</v>
      </c>
      <c r="S60" s="199" t="str">
        <f t="shared" si="17"/>
        <v>■</v>
      </c>
      <c r="T60" s="199" t="str">
        <f t="shared" si="17"/>
        <v>■</v>
      </c>
      <c r="U60" s="199" t="str">
        <f t="shared" si="17"/>
        <v>■</v>
      </c>
      <c r="V60" s="177" t="str">
        <f t="shared" si="17"/>
        <v>■</v>
      </c>
      <c r="W60" s="166"/>
      <c r="X60" s="211" t="s">
        <v>28</v>
      </c>
      <c r="Y60" s="214" t="s">
        <v>189</v>
      </c>
      <c r="Z60" s="217">
        <v>46067</v>
      </c>
      <c r="AA60" s="217">
        <v>46386</v>
      </c>
      <c r="AB60" s="200" t="str">
        <f t="shared" si="18"/>
        <v>■</v>
      </c>
      <c r="AC60" s="200" t="str">
        <f t="shared" si="18"/>
        <v>■</v>
      </c>
      <c r="AD60" s="200" t="str">
        <f t="shared" si="18"/>
        <v>■</v>
      </c>
      <c r="AE60" s="200" t="str">
        <f t="shared" si="18"/>
        <v>■</v>
      </c>
      <c r="AF60" s="200" t="str">
        <f t="shared" si="18"/>
        <v>■</v>
      </c>
      <c r="AG60" s="200" t="str">
        <f t="shared" si="18"/>
        <v>■</v>
      </c>
      <c r="AH60" s="200" t="str">
        <f t="shared" si="18"/>
        <v>■</v>
      </c>
      <c r="AI60" s="200" t="str">
        <f t="shared" si="18"/>
        <v>■</v>
      </c>
      <c r="AJ60" s="200" t="str">
        <f t="shared" si="18"/>
        <v>■</v>
      </c>
      <c r="AK60" s="200" t="str">
        <f t="shared" si="18"/>
        <v>■</v>
      </c>
      <c r="AL60" s="200" t="str">
        <f t="shared" si="19"/>
        <v>■</v>
      </c>
      <c r="AM60" s="200" t="str">
        <f t="shared" si="19"/>
        <v>■</v>
      </c>
      <c r="AN60" s="200" t="str">
        <f t="shared" si="19"/>
        <v>■</v>
      </c>
      <c r="AO60" s="200" t="str">
        <f t="shared" si="19"/>
        <v>■</v>
      </c>
      <c r="AP60" s="200" t="str">
        <f t="shared" si="19"/>
        <v>■</v>
      </c>
      <c r="AQ60" s="200" t="str">
        <f t="shared" si="19"/>
        <v>■</v>
      </c>
      <c r="AR60" s="200" t="str">
        <f t="shared" si="19"/>
        <v>■</v>
      </c>
      <c r="AS60" s="179" t="str">
        <f t="shared" si="19"/>
        <v>■</v>
      </c>
      <c r="AT60" s="204" t="s">
        <v>138</v>
      </c>
      <c r="AU60" s="235">
        <v>100</v>
      </c>
      <c r="AV60" s="235" t="s">
        <v>135</v>
      </c>
      <c r="AW60" s="205" t="s">
        <v>192</v>
      </c>
    </row>
    <row r="61" spans="1:49" ht="22.5" customHeight="1">
      <c r="A61" s="175" t="s">
        <v>20</v>
      </c>
      <c r="B61" s="169" t="s">
        <v>99</v>
      </c>
      <c r="C61" s="170">
        <v>46143</v>
      </c>
      <c r="D61" s="170">
        <v>46264</v>
      </c>
      <c r="E61" s="199" t="str">
        <f t="shared" si="16"/>
        <v>■</v>
      </c>
      <c r="F61" s="199" t="str">
        <f t="shared" si="16"/>
        <v>■</v>
      </c>
      <c r="G61" s="199" t="str">
        <f t="shared" si="16"/>
        <v>■</v>
      </c>
      <c r="H61" s="199" t="str">
        <f t="shared" si="16"/>
        <v>■</v>
      </c>
      <c r="I61" s="199" t="str">
        <f t="shared" si="16"/>
        <v>■</v>
      </c>
      <c r="J61" s="199" t="str">
        <f t="shared" si="16"/>
        <v>■</v>
      </c>
      <c r="K61" s="199" t="str">
        <f t="shared" si="16"/>
        <v>■</v>
      </c>
      <c r="L61" s="199" t="str">
        <f t="shared" si="16"/>
        <v>■</v>
      </c>
      <c r="M61" s="199" t="str">
        <f t="shared" si="16"/>
        <v>■</v>
      </c>
      <c r="N61" s="199" t="str">
        <f t="shared" si="16"/>
        <v>■</v>
      </c>
      <c r="O61" s="199" t="str">
        <f t="shared" si="17"/>
        <v>■</v>
      </c>
      <c r="P61" s="199" t="str">
        <f t="shared" si="17"/>
        <v>■</v>
      </c>
      <c r="Q61" s="199" t="str">
        <f t="shared" si="17"/>
        <v>■</v>
      </c>
      <c r="R61" s="199" t="str">
        <f t="shared" si="17"/>
        <v>■</v>
      </c>
      <c r="S61" s="199" t="str">
        <f t="shared" si="17"/>
        <v>■</v>
      </c>
      <c r="T61" s="199" t="str">
        <f t="shared" si="17"/>
        <v>■</v>
      </c>
      <c r="U61" s="199" t="str">
        <f t="shared" si="17"/>
        <v>■</v>
      </c>
      <c r="V61" s="177" t="str">
        <f t="shared" si="17"/>
        <v>■</v>
      </c>
      <c r="W61" s="166"/>
      <c r="X61" s="212" t="s">
        <v>28</v>
      </c>
      <c r="Y61" s="213" t="s">
        <v>28</v>
      </c>
      <c r="Z61" s="218">
        <v>46067</v>
      </c>
      <c r="AA61" s="218">
        <v>46386</v>
      </c>
      <c r="AB61" s="174" t="str">
        <f t="shared" si="18"/>
        <v>■</v>
      </c>
      <c r="AC61" s="174" t="str">
        <f t="shared" si="18"/>
        <v>■</v>
      </c>
      <c r="AD61" s="174" t="str">
        <f t="shared" si="18"/>
        <v>■</v>
      </c>
      <c r="AE61" s="174" t="str">
        <f t="shared" si="18"/>
        <v>■</v>
      </c>
      <c r="AF61" s="174" t="str">
        <f t="shared" si="18"/>
        <v>■</v>
      </c>
      <c r="AG61" s="174" t="str">
        <f t="shared" si="18"/>
        <v>■</v>
      </c>
      <c r="AH61" s="174" t="str">
        <f t="shared" si="18"/>
        <v>■</v>
      </c>
      <c r="AI61" s="174" t="str">
        <f t="shared" si="18"/>
        <v>■</v>
      </c>
      <c r="AJ61" s="174" t="str">
        <f t="shared" si="18"/>
        <v>■</v>
      </c>
      <c r="AK61" s="174" t="str">
        <f t="shared" si="18"/>
        <v>■</v>
      </c>
      <c r="AL61" s="174" t="str">
        <f t="shared" si="19"/>
        <v>■</v>
      </c>
      <c r="AM61" s="174" t="str">
        <f t="shared" si="19"/>
        <v>■</v>
      </c>
      <c r="AN61" s="174" t="str">
        <f t="shared" si="19"/>
        <v>■</v>
      </c>
      <c r="AO61" s="174" t="str">
        <f t="shared" si="19"/>
        <v>■</v>
      </c>
      <c r="AP61" s="174" t="str">
        <f t="shared" si="19"/>
        <v>■</v>
      </c>
      <c r="AQ61" s="174" t="str">
        <f t="shared" si="19"/>
        <v>■</v>
      </c>
      <c r="AR61" s="174" t="str">
        <f t="shared" si="19"/>
        <v>■</v>
      </c>
      <c r="AS61" s="180" t="str">
        <f t="shared" si="19"/>
        <v>■</v>
      </c>
      <c r="AT61" s="206" t="s">
        <v>141</v>
      </c>
      <c r="AU61" s="207">
        <v>100</v>
      </c>
      <c r="AV61" s="207" t="s">
        <v>193</v>
      </c>
      <c r="AW61" s="239" t="s">
        <v>194</v>
      </c>
    </row>
    <row r="62" spans="1:49" ht="22.5" customHeight="1">
      <c r="A62" s="175" t="s">
        <v>20</v>
      </c>
      <c r="B62" s="169" t="s">
        <v>100</v>
      </c>
      <c r="C62" s="170">
        <v>46204</v>
      </c>
      <c r="D62" s="170">
        <v>46264</v>
      </c>
      <c r="E62" s="199" t="str">
        <f t="shared" si="16"/>
        <v/>
      </c>
      <c r="F62" s="199" t="str">
        <f t="shared" si="16"/>
        <v/>
      </c>
      <c r="G62" s="199" t="str">
        <f t="shared" si="16"/>
        <v/>
      </c>
      <c r="H62" s="199" t="str">
        <f t="shared" si="16"/>
        <v/>
      </c>
      <c r="I62" s="199" t="str">
        <f t="shared" si="16"/>
        <v/>
      </c>
      <c r="J62" s="199" t="str">
        <f t="shared" si="16"/>
        <v/>
      </c>
      <c r="K62" s="199" t="str">
        <f t="shared" si="16"/>
        <v/>
      </c>
      <c r="L62" s="199" t="str">
        <f t="shared" si="16"/>
        <v/>
      </c>
      <c r="M62" s="199" t="str">
        <f t="shared" si="16"/>
        <v/>
      </c>
      <c r="N62" s="199" t="str">
        <f t="shared" si="16"/>
        <v>■</v>
      </c>
      <c r="O62" s="199" t="str">
        <f t="shared" si="17"/>
        <v>■</v>
      </c>
      <c r="P62" s="199" t="str">
        <f t="shared" si="17"/>
        <v>■</v>
      </c>
      <c r="Q62" s="199" t="str">
        <f t="shared" si="17"/>
        <v>■</v>
      </c>
      <c r="R62" s="199" t="str">
        <f t="shared" si="17"/>
        <v>■</v>
      </c>
      <c r="S62" s="199" t="str">
        <f t="shared" si="17"/>
        <v>■</v>
      </c>
      <c r="T62" s="199" t="str">
        <f t="shared" si="17"/>
        <v>■</v>
      </c>
      <c r="U62" s="199" t="str">
        <f t="shared" si="17"/>
        <v>■</v>
      </c>
      <c r="V62" s="177" t="str">
        <f t="shared" si="17"/>
        <v>■</v>
      </c>
      <c r="X62" s="214"/>
      <c r="Y62" s="214"/>
      <c r="Z62" s="170"/>
      <c r="AA62" s="170"/>
      <c r="AB62" s="171"/>
      <c r="AC62" s="171"/>
      <c r="AD62" s="171"/>
      <c r="AE62" s="171"/>
      <c r="AF62" s="171"/>
      <c r="AG62" s="171"/>
      <c r="AH62" s="171"/>
      <c r="AI62" s="171"/>
      <c r="AJ62" s="171"/>
      <c r="AK62" s="171"/>
      <c r="AL62" s="171"/>
      <c r="AM62" s="171"/>
      <c r="AN62" s="171"/>
      <c r="AO62" s="171"/>
      <c r="AP62" s="171"/>
      <c r="AQ62" s="171"/>
      <c r="AR62" s="171"/>
      <c r="AS62" s="171"/>
      <c r="AT62" s="235"/>
      <c r="AU62" s="235"/>
      <c r="AV62" s="235"/>
      <c r="AW62" s="235"/>
    </row>
    <row r="63" spans="1:49" ht="22.5" customHeight="1">
      <c r="A63" s="175" t="s">
        <v>22</v>
      </c>
      <c r="B63" s="169" t="s">
        <v>97</v>
      </c>
      <c r="C63" s="170">
        <v>46143</v>
      </c>
      <c r="D63" s="170">
        <v>46264</v>
      </c>
      <c r="E63" s="171" t="str">
        <f t="shared" si="16"/>
        <v>■</v>
      </c>
      <c r="F63" s="171" t="str">
        <f t="shared" si="16"/>
        <v>■</v>
      </c>
      <c r="G63" s="171" t="str">
        <f t="shared" si="16"/>
        <v>■</v>
      </c>
      <c r="H63" s="171" t="str">
        <f t="shared" si="16"/>
        <v>■</v>
      </c>
      <c r="I63" s="171" t="str">
        <f t="shared" si="16"/>
        <v>■</v>
      </c>
      <c r="J63" s="171" t="str">
        <f t="shared" si="16"/>
        <v>■</v>
      </c>
      <c r="K63" s="171" t="str">
        <f t="shared" si="16"/>
        <v>■</v>
      </c>
      <c r="L63" s="171" t="str">
        <f t="shared" si="16"/>
        <v>■</v>
      </c>
      <c r="M63" s="171" t="str">
        <f t="shared" si="16"/>
        <v>■</v>
      </c>
      <c r="N63" s="171" t="str">
        <f t="shared" si="16"/>
        <v>■</v>
      </c>
      <c r="O63" s="171" t="str">
        <f t="shared" si="17"/>
        <v>■</v>
      </c>
      <c r="P63" s="171" t="str">
        <f t="shared" si="17"/>
        <v>■</v>
      </c>
      <c r="Q63" s="171" t="str">
        <f t="shared" si="17"/>
        <v>■</v>
      </c>
      <c r="R63" s="171" t="str">
        <f t="shared" si="17"/>
        <v>■</v>
      </c>
      <c r="S63" s="171" t="str">
        <f t="shared" si="17"/>
        <v>■</v>
      </c>
      <c r="T63" s="171" t="str">
        <f t="shared" si="17"/>
        <v>■</v>
      </c>
      <c r="U63" s="171" t="str">
        <f t="shared" si="17"/>
        <v>■</v>
      </c>
      <c r="V63" s="178" t="str">
        <f t="shared" si="17"/>
        <v>■</v>
      </c>
      <c r="X63" s="214"/>
      <c r="Y63" s="214"/>
      <c r="Z63" s="170"/>
      <c r="AA63" s="170"/>
      <c r="AB63" s="171"/>
      <c r="AC63" s="171"/>
      <c r="AD63" s="171"/>
      <c r="AE63" s="171"/>
      <c r="AF63" s="171"/>
      <c r="AG63" s="171"/>
      <c r="AH63" s="171"/>
      <c r="AI63" s="171"/>
      <c r="AJ63" s="171"/>
      <c r="AK63" s="171"/>
      <c r="AL63" s="171"/>
      <c r="AM63" s="171"/>
      <c r="AN63" s="171"/>
      <c r="AO63" s="171"/>
      <c r="AP63" s="171"/>
      <c r="AQ63" s="171"/>
      <c r="AR63" s="171"/>
      <c r="AS63" s="171"/>
      <c r="AT63" s="235"/>
      <c r="AU63" s="235"/>
      <c r="AV63" s="235"/>
      <c r="AW63" s="235"/>
    </row>
    <row r="64" spans="1:49" ht="22.5" customHeight="1">
      <c r="A64" s="175" t="s">
        <v>22</v>
      </c>
      <c r="B64" s="169" t="s">
        <v>98</v>
      </c>
      <c r="C64" s="170">
        <v>46174</v>
      </c>
      <c r="D64" s="170">
        <v>46264</v>
      </c>
      <c r="E64" s="171" t="str">
        <f t="shared" si="16"/>
        <v/>
      </c>
      <c r="F64" s="171" t="str">
        <f t="shared" si="16"/>
        <v/>
      </c>
      <c r="G64" s="171" t="str">
        <f t="shared" si="16"/>
        <v/>
      </c>
      <c r="H64" s="171" t="str">
        <f t="shared" si="16"/>
        <v/>
      </c>
      <c r="I64" s="171" t="str">
        <f t="shared" si="16"/>
        <v/>
      </c>
      <c r="J64" s="171" t="str">
        <f t="shared" si="16"/>
        <v>■</v>
      </c>
      <c r="K64" s="171" t="str">
        <f t="shared" si="16"/>
        <v>■</v>
      </c>
      <c r="L64" s="171" t="str">
        <f t="shared" si="16"/>
        <v>■</v>
      </c>
      <c r="M64" s="171" t="str">
        <f t="shared" si="16"/>
        <v>■</v>
      </c>
      <c r="N64" s="171" t="str">
        <f t="shared" si="16"/>
        <v>■</v>
      </c>
      <c r="O64" s="171" t="str">
        <f t="shared" si="17"/>
        <v>■</v>
      </c>
      <c r="P64" s="171" t="str">
        <f t="shared" si="17"/>
        <v>■</v>
      </c>
      <c r="Q64" s="171" t="str">
        <f t="shared" si="17"/>
        <v>■</v>
      </c>
      <c r="R64" s="171" t="str">
        <f t="shared" si="17"/>
        <v>■</v>
      </c>
      <c r="S64" s="171" t="str">
        <f t="shared" si="17"/>
        <v>■</v>
      </c>
      <c r="T64" s="171" t="str">
        <f t="shared" si="17"/>
        <v>■</v>
      </c>
      <c r="U64" s="171" t="str">
        <f t="shared" si="17"/>
        <v>■</v>
      </c>
      <c r="V64" s="178" t="str">
        <f t="shared" si="17"/>
        <v>■</v>
      </c>
      <c r="X64" s="214"/>
      <c r="Y64" s="214"/>
      <c r="Z64" s="170"/>
      <c r="AA64" s="170"/>
      <c r="AB64" s="171"/>
      <c r="AC64" s="171"/>
      <c r="AD64" s="171"/>
      <c r="AE64" s="171"/>
      <c r="AF64" s="171"/>
      <c r="AG64" s="171"/>
      <c r="AH64" s="171"/>
      <c r="AI64" s="171"/>
      <c r="AJ64" s="171"/>
      <c r="AK64" s="171"/>
      <c r="AL64" s="171"/>
      <c r="AM64" s="171"/>
      <c r="AN64" s="171"/>
      <c r="AO64" s="171"/>
      <c r="AP64" s="171"/>
      <c r="AQ64" s="171"/>
      <c r="AR64" s="171"/>
      <c r="AS64" s="171"/>
      <c r="AT64" s="235"/>
      <c r="AU64" s="235"/>
      <c r="AV64" s="235"/>
      <c r="AW64" s="235"/>
    </row>
    <row r="65" spans="1:49" ht="22.5" customHeight="1">
      <c r="A65" s="175" t="s">
        <v>22</v>
      </c>
      <c r="B65" s="169" t="s">
        <v>99</v>
      </c>
      <c r="C65" s="170">
        <v>46143</v>
      </c>
      <c r="D65" s="170">
        <v>46264</v>
      </c>
      <c r="E65" s="171" t="str">
        <f t="shared" si="16"/>
        <v>■</v>
      </c>
      <c r="F65" s="171" t="str">
        <f t="shared" si="16"/>
        <v>■</v>
      </c>
      <c r="G65" s="171" t="str">
        <f t="shared" si="16"/>
        <v>■</v>
      </c>
      <c r="H65" s="171" t="str">
        <f t="shared" si="16"/>
        <v>■</v>
      </c>
      <c r="I65" s="171" t="str">
        <f t="shared" si="16"/>
        <v>■</v>
      </c>
      <c r="J65" s="171" t="str">
        <f t="shared" si="16"/>
        <v>■</v>
      </c>
      <c r="K65" s="171" t="str">
        <f t="shared" si="16"/>
        <v>■</v>
      </c>
      <c r="L65" s="171" t="str">
        <f t="shared" si="16"/>
        <v>■</v>
      </c>
      <c r="M65" s="171" t="str">
        <f t="shared" si="16"/>
        <v>■</v>
      </c>
      <c r="N65" s="171" t="str">
        <f t="shared" si="16"/>
        <v>■</v>
      </c>
      <c r="O65" s="171" t="str">
        <f t="shared" si="17"/>
        <v>■</v>
      </c>
      <c r="P65" s="171" t="str">
        <f t="shared" si="17"/>
        <v>■</v>
      </c>
      <c r="Q65" s="171" t="str">
        <f t="shared" si="17"/>
        <v>■</v>
      </c>
      <c r="R65" s="171" t="str">
        <f t="shared" si="17"/>
        <v>■</v>
      </c>
      <c r="S65" s="171" t="str">
        <f t="shared" si="17"/>
        <v>■</v>
      </c>
      <c r="T65" s="171" t="str">
        <f t="shared" si="17"/>
        <v>■</v>
      </c>
      <c r="U65" s="171" t="str">
        <f t="shared" si="17"/>
        <v>■</v>
      </c>
      <c r="V65" s="178" t="str">
        <f t="shared" si="17"/>
        <v>■</v>
      </c>
      <c r="X65" s="214"/>
      <c r="Y65" s="214"/>
      <c r="Z65" s="170"/>
      <c r="AA65" s="170"/>
      <c r="AB65" s="171"/>
      <c r="AC65" s="171"/>
      <c r="AD65" s="171"/>
      <c r="AE65" s="171"/>
      <c r="AF65" s="171"/>
      <c r="AG65" s="171"/>
      <c r="AH65" s="171"/>
      <c r="AI65" s="171"/>
      <c r="AJ65" s="171"/>
      <c r="AK65" s="171"/>
      <c r="AL65" s="171"/>
      <c r="AM65" s="171"/>
      <c r="AN65" s="171"/>
      <c r="AO65" s="171"/>
      <c r="AP65" s="171"/>
      <c r="AQ65" s="171"/>
      <c r="AR65" s="171"/>
      <c r="AS65" s="171"/>
      <c r="AT65" s="235"/>
      <c r="AU65" s="235"/>
      <c r="AV65" s="235"/>
      <c r="AW65" s="235"/>
    </row>
    <row r="66" spans="1:49" ht="22.5" customHeight="1">
      <c r="A66" s="175" t="s">
        <v>22</v>
      </c>
      <c r="B66" s="169" t="s">
        <v>100</v>
      </c>
      <c r="C66" s="170">
        <v>46204</v>
      </c>
      <c r="D66" s="170">
        <v>46264</v>
      </c>
      <c r="E66" s="171" t="str">
        <f t="shared" si="16"/>
        <v/>
      </c>
      <c r="F66" s="171" t="str">
        <f t="shared" si="16"/>
        <v/>
      </c>
      <c r="G66" s="171" t="str">
        <f t="shared" si="16"/>
        <v/>
      </c>
      <c r="H66" s="171" t="str">
        <f t="shared" si="16"/>
        <v/>
      </c>
      <c r="I66" s="171" t="str">
        <f t="shared" si="16"/>
        <v/>
      </c>
      <c r="J66" s="171" t="str">
        <f t="shared" si="16"/>
        <v/>
      </c>
      <c r="K66" s="171" t="str">
        <f t="shared" si="16"/>
        <v/>
      </c>
      <c r="L66" s="171" t="str">
        <f t="shared" si="16"/>
        <v/>
      </c>
      <c r="M66" s="171" t="str">
        <f t="shared" si="16"/>
        <v/>
      </c>
      <c r="N66" s="171" t="str">
        <f t="shared" si="16"/>
        <v>■</v>
      </c>
      <c r="O66" s="171" t="str">
        <f t="shared" si="17"/>
        <v>■</v>
      </c>
      <c r="P66" s="171" t="str">
        <f t="shared" si="17"/>
        <v>■</v>
      </c>
      <c r="Q66" s="171" t="str">
        <f t="shared" si="17"/>
        <v>■</v>
      </c>
      <c r="R66" s="171" t="str">
        <f t="shared" si="17"/>
        <v>■</v>
      </c>
      <c r="S66" s="171" t="str">
        <f t="shared" si="17"/>
        <v>■</v>
      </c>
      <c r="T66" s="171" t="str">
        <f t="shared" si="17"/>
        <v>■</v>
      </c>
      <c r="U66" s="171" t="str">
        <f t="shared" si="17"/>
        <v>■</v>
      </c>
      <c r="V66" s="178" t="str">
        <f t="shared" si="17"/>
        <v>■</v>
      </c>
      <c r="X66" s="214"/>
      <c r="Y66" s="214"/>
      <c r="Z66" s="170"/>
      <c r="AA66" s="170"/>
      <c r="AB66" s="171"/>
      <c r="AC66" s="171"/>
      <c r="AD66" s="171"/>
      <c r="AE66" s="171"/>
      <c r="AF66" s="171"/>
      <c r="AG66" s="171"/>
      <c r="AH66" s="171"/>
      <c r="AI66" s="171"/>
      <c r="AJ66" s="171"/>
      <c r="AK66" s="171"/>
      <c r="AL66" s="171"/>
      <c r="AM66" s="171"/>
      <c r="AN66" s="171"/>
      <c r="AO66" s="171"/>
      <c r="AP66" s="171"/>
      <c r="AQ66" s="171"/>
      <c r="AR66" s="171"/>
      <c r="AS66" s="171"/>
      <c r="AT66" s="235"/>
      <c r="AU66" s="235"/>
      <c r="AV66" s="235"/>
      <c r="AW66" s="235"/>
    </row>
    <row r="67" spans="1:49" ht="22.5" customHeight="1">
      <c r="A67" s="175" t="s">
        <v>28</v>
      </c>
      <c r="B67" s="169" t="s">
        <v>97</v>
      </c>
      <c r="C67" s="170">
        <v>46143</v>
      </c>
      <c r="D67" s="170">
        <v>46264</v>
      </c>
      <c r="E67" s="200" t="str">
        <f t="shared" si="16"/>
        <v>■</v>
      </c>
      <c r="F67" s="200" t="str">
        <f t="shared" si="16"/>
        <v>■</v>
      </c>
      <c r="G67" s="200" t="str">
        <f t="shared" si="16"/>
        <v>■</v>
      </c>
      <c r="H67" s="200" t="str">
        <f t="shared" si="16"/>
        <v>■</v>
      </c>
      <c r="I67" s="200" t="str">
        <f t="shared" si="16"/>
        <v>■</v>
      </c>
      <c r="J67" s="200" t="str">
        <f t="shared" si="16"/>
        <v>■</v>
      </c>
      <c r="K67" s="200" t="str">
        <f t="shared" si="16"/>
        <v>■</v>
      </c>
      <c r="L67" s="200" t="str">
        <f t="shared" si="16"/>
        <v>■</v>
      </c>
      <c r="M67" s="200" t="str">
        <f t="shared" si="16"/>
        <v>■</v>
      </c>
      <c r="N67" s="200" t="str">
        <f t="shared" si="16"/>
        <v>■</v>
      </c>
      <c r="O67" s="200" t="str">
        <f t="shared" si="17"/>
        <v>■</v>
      </c>
      <c r="P67" s="200" t="str">
        <f t="shared" si="17"/>
        <v>■</v>
      </c>
      <c r="Q67" s="200" t="str">
        <f t="shared" si="17"/>
        <v>■</v>
      </c>
      <c r="R67" s="200" t="str">
        <f t="shared" si="17"/>
        <v>■</v>
      </c>
      <c r="S67" s="200" t="str">
        <f t="shared" si="17"/>
        <v>■</v>
      </c>
      <c r="T67" s="200" t="str">
        <f t="shared" si="17"/>
        <v>■</v>
      </c>
      <c r="U67" s="200" t="str">
        <f t="shared" si="17"/>
        <v>■</v>
      </c>
      <c r="V67" s="179" t="str">
        <f t="shared" si="17"/>
        <v>■</v>
      </c>
      <c r="X67" s="214"/>
      <c r="Y67" s="214"/>
      <c r="Z67" s="170"/>
      <c r="AA67" s="170"/>
      <c r="AB67" s="171"/>
      <c r="AC67" s="171"/>
      <c r="AD67" s="171"/>
      <c r="AE67" s="171"/>
      <c r="AF67" s="171"/>
      <c r="AG67" s="171"/>
      <c r="AH67" s="171"/>
      <c r="AI67" s="171"/>
      <c r="AJ67" s="171"/>
      <c r="AK67" s="171"/>
      <c r="AL67" s="171"/>
      <c r="AM67" s="171"/>
      <c r="AN67" s="171"/>
      <c r="AO67" s="171"/>
      <c r="AP67" s="171"/>
      <c r="AQ67" s="171"/>
      <c r="AR67" s="171"/>
      <c r="AS67" s="171"/>
      <c r="AT67" s="235"/>
      <c r="AU67" s="235"/>
      <c r="AV67" s="235"/>
      <c r="AW67" s="235"/>
    </row>
    <row r="68" spans="1:49" ht="22.5" customHeight="1">
      <c r="A68" s="175" t="s">
        <v>28</v>
      </c>
      <c r="B68" s="169" t="s">
        <v>98</v>
      </c>
      <c r="C68" s="170">
        <v>46204</v>
      </c>
      <c r="D68" s="170">
        <v>46264</v>
      </c>
      <c r="E68" s="200" t="str">
        <f t="shared" si="16"/>
        <v/>
      </c>
      <c r="F68" s="200" t="str">
        <f t="shared" si="16"/>
        <v/>
      </c>
      <c r="G68" s="200" t="str">
        <f t="shared" si="16"/>
        <v/>
      </c>
      <c r="H68" s="200" t="str">
        <f t="shared" si="16"/>
        <v/>
      </c>
      <c r="I68" s="200" t="str">
        <f t="shared" si="16"/>
        <v/>
      </c>
      <c r="J68" s="200" t="str">
        <f t="shared" si="16"/>
        <v/>
      </c>
      <c r="K68" s="200" t="str">
        <f t="shared" si="16"/>
        <v/>
      </c>
      <c r="L68" s="200" t="str">
        <f t="shared" si="16"/>
        <v/>
      </c>
      <c r="M68" s="200" t="str">
        <f t="shared" si="16"/>
        <v/>
      </c>
      <c r="N68" s="200" t="str">
        <f t="shared" si="16"/>
        <v>■</v>
      </c>
      <c r="O68" s="200" t="str">
        <f t="shared" si="17"/>
        <v>■</v>
      </c>
      <c r="P68" s="200" t="str">
        <f t="shared" si="17"/>
        <v>■</v>
      </c>
      <c r="Q68" s="200" t="str">
        <f t="shared" si="17"/>
        <v>■</v>
      </c>
      <c r="R68" s="200" t="str">
        <f t="shared" si="17"/>
        <v>■</v>
      </c>
      <c r="S68" s="200" t="str">
        <f t="shared" si="17"/>
        <v>■</v>
      </c>
      <c r="T68" s="200" t="str">
        <f t="shared" si="17"/>
        <v>■</v>
      </c>
      <c r="U68" s="200" t="str">
        <f t="shared" si="17"/>
        <v>■</v>
      </c>
      <c r="V68" s="179" t="str">
        <f t="shared" si="17"/>
        <v>■</v>
      </c>
      <c r="X68" s="214"/>
      <c r="Y68" s="214"/>
      <c r="Z68" s="170"/>
      <c r="AA68" s="170"/>
      <c r="AB68" s="171"/>
      <c r="AC68" s="171"/>
      <c r="AD68" s="171"/>
      <c r="AE68" s="171"/>
      <c r="AF68" s="171"/>
      <c r="AG68" s="171"/>
      <c r="AH68" s="171"/>
      <c r="AI68" s="171"/>
      <c r="AJ68" s="171"/>
      <c r="AK68" s="171"/>
      <c r="AL68" s="171"/>
      <c r="AM68" s="171"/>
      <c r="AN68" s="171"/>
      <c r="AO68" s="171"/>
      <c r="AP68" s="171"/>
      <c r="AQ68" s="171"/>
      <c r="AR68" s="171"/>
      <c r="AS68" s="171"/>
      <c r="AT68" s="235"/>
      <c r="AU68" s="235"/>
      <c r="AV68" s="235"/>
      <c r="AW68" s="235"/>
    </row>
    <row r="69" spans="1:49" ht="22.5" customHeight="1">
      <c r="A69" s="175" t="s">
        <v>28</v>
      </c>
      <c r="B69" s="169" t="s">
        <v>99</v>
      </c>
      <c r="C69" s="170">
        <v>46204</v>
      </c>
      <c r="D69" s="170">
        <v>46264</v>
      </c>
      <c r="E69" s="200" t="str">
        <f t="shared" si="16"/>
        <v/>
      </c>
      <c r="F69" s="200" t="str">
        <f t="shared" si="16"/>
        <v/>
      </c>
      <c r="G69" s="200" t="str">
        <f t="shared" si="16"/>
        <v/>
      </c>
      <c r="H69" s="200" t="str">
        <f t="shared" si="16"/>
        <v/>
      </c>
      <c r="I69" s="200" t="str">
        <f t="shared" si="16"/>
        <v/>
      </c>
      <c r="J69" s="200" t="str">
        <f t="shared" si="16"/>
        <v/>
      </c>
      <c r="K69" s="200" t="str">
        <f t="shared" si="16"/>
        <v/>
      </c>
      <c r="L69" s="200" t="str">
        <f t="shared" si="16"/>
        <v/>
      </c>
      <c r="M69" s="200" t="str">
        <f t="shared" si="16"/>
        <v/>
      </c>
      <c r="N69" s="200" t="str">
        <f t="shared" si="16"/>
        <v>■</v>
      </c>
      <c r="O69" s="200" t="str">
        <f t="shared" si="17"/>
        <v>■</v>
      </c>
      <c r="P69" s="200" t="str">
        <f t="shared" si="17"/>
        <v>■</v>
      </c>
      <c r="Q69" s="200" t="str">
        <f t="shared" si="17"/>
        <v>■</v>
      </c>
      <c r="R69" s="200" t="str">
        <f t="shared" si="17"/>
        <v>■</v>
      </c>
      <c r="S69" s="200" t="str">
        <f t="shared" si="17"/>
        <v>■</v>
      </c>
      <c r="T69" s="200" t="str">
        <f t="shared" si="17"/>
        <v>■</v>
      </c>
      <c r="U69" s="200" t="str">
        <f t="shared" si="17"/>
        <v>■</v>
      </c>
      <c r="V69" s="179" t="str">
        <f t="shared" si="17"/>
        <v>■</v>
      </c>
      <c r="X69" s="214"/>
      <c r="Y69" s="214"/>
      <c r="Z69" s="170"/>
      <c r="AA69" s="170"/>
      <c r="AB69" s="171"/>
      <c r="AC69" s="171"/>
      <c r="AD69" s="171"/>
      <c r="AE69" s="171"/>
      <c r="AF69" s="171"/>
      <c r="AG69" s="171"/>
      <c r="AH69" s="171"/>
      <c r="AI69" s="171"/>
      <c r="AJ69" s="171"/>
      <c r="AK69" s="171"/>
      <c r="AL69" s="171"/>
      <c r="AM69" s="171"/>
      <c r="AN69" s="171"/>
      <c r="AO69" s="171"/>
      <c r="AP69" s="171"/>
      <c r="AQ69" s="171"/>
      <c r="AR69" s="171"/>
      <c r="AS69" s="171"/>
      <c r="AT69" s="235"/>
      <c r="AU69" s="235"/>
      <c r="AV69" s="235"/>
      <c r="AW69" s="235"/>
    </row>
    <row r="70" spans="1:49" ht="22.5" customHeight="1">
      <c r="A70" s="176" t="s">
        <v>28</v>
      </c>
      <c r="B70" s="172" t="s">
        <v>100</v>
      </c>
      <c r="C70" s="173">
        <v>46204</v>
      </c>
      <c r="D70" s="173">
        <v>46264</v>
      </c>
      <c r="E70" s="174" t="str">
        <f t="shared" si="16"/>
        <v/>
      </c>
      <c r="F70" s="174" t="str">
        <f t="shared" si="16"/>
        <v/>
      </c>
      <c r="G70" s="174" t="str">
        <f t="shared" si="16"/>
        <v/>
      </c>
      <c r="H70" s="174" t="str">
        <f t="shared" si="16"/>
        <v/>
      </c>
      <c r="I70" s="174" t="str">
        <f t="shared" si="16"/>
        <v/>
      </c>
      <c r="J70" s="174" t="str">
        <f t="shared" si="16"/>
        <v/>
      </c>
      <c r="K70" s="174" t="str">
        <f t="shared" si="16"/>
        <v/>
      </c>
      <c r="L70" s="174" t="str">
        <f t="shared" si="16"/>
        <v/>
      </c>
      <c r="M70" s="174" t="str">
        <f t="shared" si="16"/>
        <v/>
      </c>
      <c r="N70" s="174" t="str">
        <f t="shared" si="16"/>
        <v>■</v>
      </c>
      <c r="O70" s="174" t="str">
        <f t="shared" si="17"/>
        <v>■</v>
      </c>
      <c r="P70" s="174" t="str">
        <f t="shared" si="17"/>
        <v>■</v>
      </c>
      <c r="Q70" s="174" t="str">
        <f t="shared" si="17"/>
        <v>■</v>
      </c>
      <c r="R70" s="174" t="str">
        <f t="shared" si="17"/>
        <v>■</v>
      </c>
      <c r="S70" s="174" t="str">
        <f t="shared" si="17"/>
        <v>■</v>
      </c>
      <c r="T70" s="174" t="str">
        <f t="shared" si="17"/>
        <v>■</v>
      </c>
      <c r="U70" s="174" t="str">
        <f t="shared" si="17"/>
        <v>■</v>
      </c>
      <c r="V70" s="180" t="str">
        <f t="shared" si="17"/>
        <v>■</v>
      </c>
      <c r="X70" s="214"/>
      <c r="Y70" s="214"/>
      <c r="Z70" s="170"/>
      <c r="AA70" s="170"/>
      <c r="AB70" s="171"/>
      <c r="AC70" s="171"/>
      <c r="AD70" s="171"/>
      <c r="AE70" s="171"/>
      <c r="AF70" s="171"/>
      <c r="AG70" s="171"/>
      <c r="AH70" s="171"/>
      <c r="AI70" s="171"/>
      <c r="AJ70" s="171"/>
      <c r="AK70" s="171"/>
      <c r="AL70" s="171"/>
      <c r="AM70" s="171"/>
      <c r="AN70" s="171"/>
      <c r="AO70" s="171"/>
      <c r="AP70" s="171"/>
      <c r="AQ70" s="171"/>
      <c r="AR70" s="171"/>
      <c r="AS70" s="171"/>
      <c r="AT70" s="235"/>
      <c r="AU70" s="235"/>
      <c r="AV70" s="235"/>
      <c r="AW70" s="235"/>
    </row>
    <row r="71" spans="1:49" ht="25.5" customHeight="1">
      <c r="A71" s="292" t="s">
        <v>195</v>
      </c>
      <c r="B71" s="292"/>
      <c r="C71" s="292"/>
      <c r="D71" s="292"/>
      <c r="E71" s="292"/>
      <c r="F71" s="292"/>
      <c r="G71" s="292"/>
      <c r="H71" s="292"/>
      <c r="I71" s="292"/>
      <c r="J71" s="292"/>
      <c r="K71" s="292"/>
      <c r="L71" s="292"/>
      <c r="M71" s="292"/>
      <c r="N71" s="292"/>
      <c r="O71" s="292"/>
      <c r="P71" s="292"/>
      <c r="Q71" s="292"/>
      <c r="R71" s="292"/>
      <c r="S71" s="292"/>
      <c r="T71" s="292"/>
      <c r="U71" s="292"/>
      <c r="V71" s="292"/>
      <c r="X71" s="296" t="s">
        <v>196</v>
      </c>
      <c r="Y71" s="296"/>
      <c r="Z71" s="296"/>
      <c r="AA71" s="296"/>
      <c r="AB71" s="296"/>
      <c r="AC71" s="296"/>
      <c r="AD71" s="296"/>
      <c r="AE71" s="296"/>
      <c r="AF71" s="296"/>
      <c r="AG71" s="296"/>
      <c r="AH71" s="296"/>
      <c r="AI71" s="296"/>
      <c r="AJ71" s="296"/>
      <c r="AK71" s="296"/>
      <c r="AL71" s="296"/>
      <c r="AM71" s="296"/>
      <c r="AN71" s="296"/>
      <c r="AO71" s="296"/>
      <c r="AP71" s="296"/>
      <c r="AQ71" s="296"/>
      <c r="AR71" s="296"/>
      <c r="AS71" s="296"/>
      <c r="AT71" s="235"/>
      <c r="AU71" s="235"/>
      <c r="AV71" s="235"/>
      <c r="AW71" s="235"/>
    </row>
    <row r="72" spans="1:49" ht="25.5" customHeight="1">
      <c r="A72" s="186" t="s">
        <v>105</v>
      </c>
      <c r="B72" s="187" t="s">
        <v>106</v>
      </c>
      <c r="C72" s="181" t="s">
        <v>95</v>
      </c>
      <c r="D72" s="181" t="s">
        <v>96</v>
      </c>
      <c r="E72" s="184" t="s">
        <v>107</v>
      </c>
      <c r="F72" s="184" t="s">
        <v>108</v>
      </c>
      <c r="G72" s="184" t="s">
        <v>109</v>
      </c>
      <c r="H72" s="184" t="s">
        <v>110</v>
      </c>
      <c r="I72" s="184" t="s">
        <v>111</v>
      </c>
      <c r="J72" s="184" t="s">
        <v>112</v>
      </c>
      <c r="K72" s="184" t="s">
        <v>113</v>
      </c>
      <c r="L72" s="184" t="s">
        <v>114</v>
      </c>
      <c r="M72" s="184" t="s">
        <v>115</v>
      </c>
      <c r="N72" s="184" t="s">
        <v>116</v>
      </c>
      <c r="O72" s="184" t="s">
        <v>117</v>
      </c>
      <c r="P72" s="184" t="s">
        <v>118</v>
      </c>
      <c r="Q72" s="184" t="s">
        <v>119</v>
      </c>
      <c r="R72" s="184" t="s">
        <v>120</v>
      </c>
      <c r="S72" s="184" t="s">
        <v>121</v>
      </c>
      <c r="T72" s="184" t="s">
        <v>122</v>
      </c>
      <c r="U72" s="184" t="s">
        <v>123</v>
      </c>
      <c r="V72" s="185" t="s">
        <v>124</v>
      </c>
      <c r="X72" s="219" t="s">
        <v>105</v>
      </c>
      <c r="Y72" s="220" t="s">
        <v>125</v>
      </c>
      <c r="Z72" s="184" t="s">
        <v>95</v>
      </c>
      <c r="AA72" s="184" t="s">
        <v>96</v>
      </c>
      <c r="AB72" s="184" t="s">
        <v>107</v>
      </c>
      <c r="AC72" s="184" t="s">
        <v>108</v>
      </c>
      <c r="AD72" s="184" t="s">
        <v>109</v>
      </c>
      <c r="AE72" s="184" t="s">
        <v>110</v>
      </c>
      <c r="AF72" s="184" t="s">
        <v>111</v>
      </c>
      <c r="AG72" s="184" t="s">
        <v>112</v>
      </c>
      <c r="AH72" s="184" t="s">
        <v>113</v>
      </c>
      <c r="AI72" s="184" t="s">
        <v>114</v>
      </c>
      <c r="AJ72" s="184" t="s">
        <v>115</v>
      </c>
      <c r="AK72" s="184" t="s">
        <v>116</v>
      </c>
      <c r="AL72" s="184" t="s">
        <v>117</v>
      </c>
      <c r="AM72" s="184" t="s">
        <v>118</v>
      </c>
      <c r="AN72" s="184" t="s">
        <v>119</v>
      </c>
      <c r="AO72" s="184" t="s">
        <v>120</v>
      </c>
      <c r="AP72" s="184" t="s">
        <v>121</v>
      </c>
      <c r="AQ72" s="184" t="s">
        <v>122</v>
      </c>
      <c r="AR72" s="184" t="s">
        <v>123</v>
      </c>
      <c r="AS72" s="185" t="s">
        <v>124</v>
      </c>
      <c r="AT72" s="202" t="s">
        <v>126</v>
      </c>
      <c r="AU72" s="201" t="s">
        <v>127</v>
      </c>
      <c r="AV72" s="201" t="s">
        <v>128</v>
      </c>
      <c r="AW72" s="203" t="s">
        <v>129</v>
      </c>
    </row>
    <row r="73" spans="1:49" ht="22.5" customHeight="1">
      <c r="A73" s="175" t="s">
        <v>20</v>
      </c>
      <c r="B73" s="169" t="s">
        <v>97</v>
      </c>
      <c r="C73" s="170">
        <v>46143</v>
      </c>
      <c r="D73" s="170">
        <v>46264</v>
      </c>
      <c r="E73" s="199" t="str">
        <f t="shared" ref="E73:N81" si="20">IFERROR(IF(OR($A73="",$A73="Model",LEFT($A73,5)="Markt"),"",IF(AND($C73&lt;=E$3+6,$D73&gt;=E$3),"■","")),"")</f>
        <v>■</v>
      </c>
      <c r="F73" s="199" t="str">
        <f t="shared" si="20"/>
        <v>■</v>
      </c>
      <c r="G73" s="199" t="str">
        <f t="shared" si="20"/>
        <v>■</v>
      </c>
      <c r="H73" s="199" t="str">
        <f t="shared" si="20"/>
        <v>■</v>
      </c>
      <c r="I73" s="199" t="str">
        <f t="shared" si="20"/>
        <v>■</v>
      </c>
      <c r="J73" s="199" t="str">
        <f t="shared" si="20"/>
        <v>■</v>
      </c>
      <c r="K73" s="199" t="str">
        <f t="shared" si="20"/>
        <v>■</v>
      </c>
      <c r="L73" s="199" t="str">
        <f t="shared" si="20"/>
        <v>■</v>
      </c>
      <c r="M73" s="199" t="str">
        <f t="shared" si="20"/>
        <v>■</v>
      </c>
      <c r="N73" s="199" t="str">
        <f t="shared" si="20"/>
        <v>■</v>
      </c>
      <c r="O73" s="199" t="str">
        <f t="shared" ref="O73:V81" si="21">IFERROR(IF(OR($A73="",$A73="Model",LEFT($A73,5)="Markt"),"",IF(AND($C73&lt;=O$3+6,$D73&gt;=O$3),"■","")),"")</f>
        <v>■</v>
      </c>
      <c r="P73" s="199" t="str">
        <f t="shared" si="21"/>
        <v>■</v>
      </c>
      <c r="Q73" s="199" t="str">
        <f t="shared" si="21"/>
        <v>■</v>
      </c>
      <c r="R73" s="199" t="str">
        <f t="shared" si="21"/>
        <v>■</v>
      </c>
      <c r="S73" s="199" t="str">
        <f t="shared" si="21"/>
        <v>■</v>
      </c>
      <c r="T73" s="199" t="str">
        <f t="shared" si="21"/>
        <v>■</v>
      </c>
      <c r="U73" s="199" t="str">
        <f t="shared" si="21"/>
        <v>■</v>
      </c>
      <c r="V73" s="177" t="str">
        <f t="shared" si="21"/>
        <v>■</v>
      </c>
      <c r="X73" s="231" t="s">
        <v>133</v>
      </c>
      <c r="Y73" s="232" t="s">
        <v>197</v>
      </c>
      <c r="Z73" s="170">
        <v>46202</v>
      </c>
      <c r="AA73" s="168">
        <v>46294</v>
      </c>
      <c r="AB73" s="223" t="str">
        <f t="shared" ref="AB73:AK74" si="22">IF(AND($Z73&lt;=(AB$3+6),$AA73&gt;=AB$3),"■","")</f>
        <v/>
      </c>
      <c r="AC73" s="223" t="str">
        <f t="shared" si="22"/>
        <v/>
      </c>
      <c r="AD73" s="223" t="str">
        <f t="shared" si="22"/>
        <v/>
      </c>
      <c r="AE73" s="223" t="str">
        <f t="shared" si="22"/>
        <v/>
      </c>
      <c r="AF73" s="223" t="str">
        <f t="shared" si="22"/>
        <v/>
      </c>
      <c r="AG73" s="223" t="str">
        <f t="shared" si="22"/>
        <v/>
      </c>
      <c r="AH73" s="223" t="str">
        <f t="shared" si="22"/>
        <v/>
      </c>
      <c r="AI73" s="223" t="str">
        <f t="shared" si="22"/>
        <v/>
      </c>
      <c r="AJ73" s="223" t="str">
        <f t="shared" si="22"/>
        <v/>
      </c>
      <c r="AK73" s="223" t="str">
        <f t="shared" si="22"/>
        <v>■</v>
      </c>
      <c r="AL73" s="223" t="str">
        <f t="shared" ref="AL73:AS74" si="23">IF(AND($Z73&lt;=(AL$3+6),$AA73&gt;=AL$3),"■","")</f>
        <v>■</v>
      </c>
      <c r="AM73" s="223" t="str">
        <f t="shared" si="23"/>
        <v>■</v>
      </c>
      <c r="AN73" s="223" t="str">
        <f t="shared" si="23"/>
        <v>■</v>
      </c>
      <c r="AO73" s="223" t="str">
        <f t="shared" si="23"/>
        <v>■</v>
      </c>
      <c r="AP73" s="223" t="str">
        <f t="shared" si="23"/>
        <v>■</v>
      </c>
      <c r="AQ73" s="223" t="str">
        <f t="shared" si="23"/>
        <v>■</v>
      </c>
      <c r="AR73" s="223" t="str">
        <f t="shared" si="23"/>
        <v>■</v>
      </c>
      <c r="AS73" s="224" t="str">
        <f t="shared" si="23"/>
        <v>■</v>
      </c>
      <c r="AT73" s="204" t="s">
        <v>138</v>
      </c>
      <c r="AU73" s="235" t="s">
        <v>198</v>
      </c>
      <c r="AV73" s="235" t="s">
        <v>147</v>
      </c>
      <c r="AW73" s="205" t="s">
        <v>199</v>
      </c>
    </row>
    <row r="74" spans="1:49" ht="22.5" customHeight="1">
      <c r="A74" s="175" t="s">
        <v>20</v>
      </c>
      <c r="B74" s="169" t="s">
        <v>99</v>
      </c>
      <c r="C74" s="170">
        <v>46143</v>
      </c>
      <c r="D74" s="170">
        <v>46264</v>
      </c>
      <c r="E74" s="199" t="str">
        <f t="shared" si="20"/>
        <v>■</v>
      </c>
      <c r="F74" s="199" t="str">
        <f t="shared" si="20"/>
        <v>■</v>
      </c>
      <c r="G74" s="199" t="str">
        <f t="shared" si="20"/>
        <v>■</v>
      </c>
      <c r="H74" s="199" t="str">
        <f t="shared" si="20"/>
        <v>■</v>
      </c>
      <c r="I74" s="199" t="str">
        <f t="shared" si="20"/>
        <v>■</v>
      </c>
      <c r="J74" s="199" t="str">
        <f t="shared" si="20"/>
        <v>■</v>
      </c>
      <c r="K74" s="199" t="str">
        <f t="shared" si="20"/>
        <v>■</v>
      </c>
      <c r="L74" s="199" t="str">
        <f t="shared" si="20"/>
        <v>■</v>
      </c>
      <c r="M74" s="199" t="str">
        <f t="shared" si="20"/>
        <v>■</v>
      </c>
      <c r="N74" s="199" t="str">
        <f t="shared" si="20"/>
        <v>■</v>
      </c>
      <c r="O74" s="199" t="str">
        <f t="shared" si="21"/>
        <v>■</v>
      </c>
      <c r="P74" s="199" t="str">
        <f t="shared" si="21"/>
        <v>■</v>
      </c>
      <c r="Q74" s="199" t="str">
        <f t="shared" si="21"/>
        <v>■</v>
      </c>
      <c r="R74" s="199" t="str">
        <f t="shared" si="21"/>
        <v>■</v>
      </c>
      <c r="S74" s="199" t="str">
        <f t="shared" si="21"/>
        <v>■</v>
      </c>
      <c r="T74" s="199" t="str">
        <f t="shared" si="21"/>
        <v>■</v>
      </c>
      <c r="U74" s="199" t="str">
        <f t="shared" si="21"/>
        <v>■</v>
      </c>
      <c r="V74" s="177" t="str">
        <f t="shared" si="21"/>
        <v>■</v>
      </c>
      <c r="X74" s="233" t="s">
        <v>28</v>
      </c>
      <c r="Y74" s="234" t="s">
        <v>200</v>
      </c>
      <c r="Z74" s="173">
        <v>46082</v>
      </c>
      <c r="AA74" s="228">
        <v>46294</v>
      </c>
      <c r="AB74" s="229" t="str">
        <f t="shared" si="22"/>
        <v>■</v>
      </c>
      <c r="AC74" s="229" t="str">
        <f t="shared" si="22"/>
        <v>■</v>
      </c>
      <c r="AD74" s="229" t="str">
        <f t="shared" si="22"/>
        <v>■</v>
      </c>
      <c r="AE74" s="229" t="str">
        <f t="shared" si="22"/>
        <v>■</v>
      </c>
      <c r="AF74" s="229" t="str">
        <f t="shared" si="22"/>
        <v>■</v>
      </c>
      <c r="AG74" s="229" t="str">
        <f t="shared" si="22"/>
        <v>■</v>
      </c>
      <c r="AH74" s="229" t="str">
        <f t="shared" si="22"/>
        <v>■</v>
      </c>
      <c r="AI74" s="229" t="str">
        <f t="shared" si="22"/>
        <v>■</v>
      </c>
      <c r="AJ74" s="229" t="str">
        <f t="shared" si="22"/>
        <v>■</v>
      </c>
      <c r="AK74" s="229" t="str">
        <f t="shared" si="22"/>
        <v>■</v>
      </c>
      <c r="AL74" s="229" t="str">
        <f t="shared" si="23"/>
        <v>■</v>
      </c>
      <c r="AM74" s="229" t="str">
        <f t="shared" si="23"/>
        <v>■</v>
      </c>
      <c r="AN74" s="229" t="str">
        <f t="shared" si="23"/>
        <v>■</v>
      </c>
      <c r="AO74" s="229" t="str">
        <f t="shared" si="23"/>
        <v>■</v>
      </c>
      <c r="AP74" s="229" t="str">
        <f t="shared" si="23"/>
        <v>■</v>
      </c>
      <c r="AQ74" s="229" t="str">
        <f t="shared" si="23"/>
        <v>■</v>
      </c>
      <c r="AR74" s="229" t="str">
        <f t="shared" si="23"/>
        <v>■</v>
      </c>
      <c r="AS74" s="230" t="str">
        <f t="shared" si="23"/>
        <v>■</v>
      </c>
      <c r="AT74" s="206" t="s">
        <v>138</v>
      </c>
      <c r="AU74" s="207" t="s">
        <v>201</v>
      </c>
      <c r="AV74" s="207" t="s">
        <v>147</v>
      </c>
      <c r="AW74" s="239" t="s">
        <v>202</v>
      </c>
    </row>
    <row r="75" spans="1:49" ht="22.5" customHeight="1">
      <c r="A75" s="175" t="s">
        <v>20</v>
      </c>
      <c r="B75" s="169" t="s">
        <v>100</v>
      </c>
      <c r="C75" s="170">
        <v>46204</v>
      </c>
      <c r="D75" s="170">
        <v>46264</v>
      </c>
      <c r="E75" s="199" t="str">
        <f t="shared" si="20"/>
        <v/>
      </c>
      <c r="F75" s="199" t="str">
        <f t="shared" si="20"/>
        <v/>
      </c>
      <c r="G75" s="199" t="str">
        <f t="shared" si="20"/>
        <v/>
      </c>
      <c r="H75" s="199" t="str">
        <f t="shared" si="20"/>
        <v/>
      </c>
      <c r="I75" s="199" t="str">
        <f t="shared" si="20"/>
        <v/>
      </c>
      <c r="J75" s="199" t="str">
        <f t="shared" si="20"/>
        <v/>
      </c>
      <c r="K75" s="199" t="str">
        <f t="shared" si="20"/>
        <v/>
      </c>
      <c r="L75" s="199" t="str">
        <f t="shared" si="20"/>
        <v/>
      </c>
      <c r="M75" s="199" t="str">
        <f t="shared" si="20"/>
        <v/>
      </c>
      <c r="N75" s="199" t="str">
        <f t="shared" si="20"/>
        <v>■</v>
      </c>
      <c r="O75" s="199" t="str">
        <f t="shared" si="21"/>
        <v>■</v>
      </c>
      <c r="P75" s="199" t="str">
        <f t="shared" si="21"/>
        <v>■</v>
      </c>
      <c r="Q75" s="199" t="str">
        <f t="shared" si="21"/>
        <v>■</v>
      </c>
      <c r="R75" s="199" t="str">
        <f t="shared" si="21"/>
        <v>■</v>
      </c>
      <c r="S75" s="199" t="str">
        <f t="shared" si="21"/>
        <v>■</v>
      </c>
      <c r="T75" s="199" t="str">
        <f t="shared" si="21"/>
        <v>■</v>
      </c>
      <c r="U75" s="199" t="str">
        <f t="shared" si="21"/>
        <v>■</v>
      </c>
      <c r="V75" s="177" t="str">
        <f t="shared" si="21"/>
        <v>■</v>
      </c>
      <c r="AT75" s="235"/>
      <c r="AU75" s="235"/>
      <c r="AV75" s="235"/>
      <c r="AW75" s="235"/>
    </row>
    <row r="76" spans="1:49" ht="22.5" customHeight="1">
      <c r="A76" s="175" t="s">
        <v>22</v>
      </c>
      <c r="B76" s="169" t="s">
        <v>97</v>
      </c>
      <c r="C76" s="170">
        <v>46174</v>
      </c>
      <c r="D76" s="170">
        <v>46264</v>
      </c>
      <c r="E76" s="171" t="str">
        <f t="shared" si="20"/>
        <v/>
      </c>
      <c r="F76" s="171" t="str">
        <f t="shared" si="20"/>
        <v/>
      </c>
      <c r="G76" s="171" t="str">
        <f t="shared" si="20"/>
        <v/>
      </c>
      <c r="H76" s="171" t="str">
        <f t="shared" si="20"/>
        <v/>
      </c>
      <c r="I76" s="171" t="str">
        <f t="shared" si="20"/>
        <v/>
      </c>
      <c r="J76" s="171" t="str">
        <f t="shared" si="20"/>
        <v>■</v>
      </c>
      <c r="K76" s="171" t="str">
        <f t="shared" si="20"/>
        <v>■</v>
      </c>
      <c r="L76" s="171" t="str">
        <f t="shared" si="20"/>
        <v>■</v>
      </c>
      <c r="M76" s="171" t="str">
        <f t="shared" si="20"/>
        <v>■</v>
      </c>
      <c r="N76" s="171" t="str">
        <f t="shared" si="20"/>
        <v>■</v>
      </c>
      <c r="O76" s="171" t="str">
        <f t="shared" si="21"/>
        <v>■</v>
      </c>
      <c r="P76" s="171" t="str">
        <f t="shared" si="21"/>
        <v>■</v>
      </c>
      <c r="Q76" s="171" t="str">
        <f t="shared" si="21"/>
        <v>■</v>
      </c>
      <c r="R76" s="171" t="str">
        <f t="shared" si="21"/>
        <v>■</v>
      </c>
      <c r="S76" s="171" t="str">
        <f t="shared" si="21"/>
        <v>■</v>
      </c>
      <c r="T76" s="171" t="str">
        <f t="shared" si="21"/>
        <v>■</v>
      </c>
      <c r="U76" s="171" t="str">
        <f t="shared" si="21"/>
        <v>■</v>
      </c>
      <c r="V76" s="178" t="str">
        <f t="shared" si="21"/>
        <v>■</v>
      </c>
      <c r="AT76" s="235"/>
      <c r="AU76" s="235"/>
      <c r="AV76" s="235"/>
      <c r="AW76" s="235"/>
    </row>
    <row r="77" spans="1:49" ht="22.5" customHeight="1">
      <c r="A77" s="175" t="s">
        <v>22</v>
      </c>
      <c r="B77" s="169" t="s">
        <v>99</v>
      </c>
      <c r="C77" s="170">
        <v>46143</v>
      </c>
      <c r="D77" s="170">
        <v>46264</v>
      </c>
      <c r="E77" s="171" t="str">
        <f t="shared" si="20"/>
        <v>■</v>
      </c>
      <c r="F77" s="171" t="str">
        <f t="shared" si="20"/>
        <v>■</v>
      </c>
      <c r="G77" s="171" t="str">
        <f t="shared" si="20"/>
        <v>■</v>
      </c>
      <c r="H77" s="171" t="str">
        <f t="shared" si="20"/>
        <v>■</v>
      </c>
      <c r="I77" s="171" t="str">
        <f t="shared" si="20"/>
        <v>■</v>
      </c>
      <c r="J77" s="171" t="str">
        <f t="shared" si="20"/>
        <v>■</v>
      </c>
      <c r="K77" s="171" t="str">
        <f t="shared" si="20"/>
        <v>■</v>
      </c>
      <c r="L77" s="171" t="str">
        <f t="shared" si="20"/>
        <v>■</v>
      </c>
      <c r="M77" s="171" t="str">
        <f t="shared" si="20"/>
        <v>■</v>
      </c>
      <c r="N77" s="171" t="str">
        <f t="shared" si="20"/>
        <v>■</v>
      </c>
      <c r="O77" s="171" t="str">
        <f t="shared" si="21"/>
        <v>■</v>
      </c>
      <c r="P77" s="171" t="str">
        <f t="shared" si="21"/>
        <v>■</v>
      </c>
      <c r="Q77" s="171" t="str">
        <f t="shared" si="21"/>
        <v>■</v>
      </c>
      <c r="R77" s="171" t="str">
        <f t="shared" si="21"/>
        <v>■</v>
      </c>
      <c r="S77" s="171" t="str">
        <f t="shared" si="21"/>
        <v>■</v>
      </c>
      <c r="T77" s="171" t="str">
        <f t="shared" si="21"/>
        <v>■</v>
      </c>
      <c r="U77" s="171" t="str">
        <f t="shared" si="21"/>
        <v>■</v>
      </c>
      <c r="V77" s="178" t="str">
        <f t="shared" si="21"/>
        <v>■</v>
      </c>
      <c r="AT77" s="235"/>
      <c r="AU77" s="235"/>
      <c r="AV77" s="235"/>
      <c r="AW77" s="235"/>
    </row>
    <row r="78" spans="1:49" ht="22.5" customHeight="1">
      <c r="A78" s="175" t="s">
        <v>22</v>
      </c>
      <c r="B78" s="169" t="s">
        <v>100</v>
      </c>
      <c r="C78" s="170">
        <v>46204</v>
      </c>
      <c r="D78" s="170">
        <v>46264</v>
      </c>
      <c r="E78" s="171" t="str">
        <f t="shared" si="20"/>
        <v/>
      </c>
      <c r="F78" s="171" t="str">
        <f t="shared" si="20"/>
        <v/>
      </c>
      <c r="G78" s="171" t="str">
        <f t="shared" si="20"/>
        <v/>
      </c>
      <c r="H78" s="171" t="str">
        <f t="shared" si="20"/>
        <v/>
      </c>
      <c r="I78" s="171" t="str">
        <f t="shared" si="20"/>
        <v/>
      </c>
      <c r="J78" s="171" t="str">
        <f t="shared" si="20"/>
        <v/>
      </c>
      <c r="K78" s="171" t="str">
        <f t="shared" si="20"/>
        <v/>
      </c>
      <c r="L78" s="171" t="str">
        <f t="shared" si="20"/>
        <v/>
      </c>
      <c r="M78" s="171" t="str">
        <f t="shared" si="20"/>
        <v/>
      </c>
      <c r="N78" s="171" t="str">
        <f t="shared" si="20"/>
        <v>■</v>
      </c>
      <c r="O78" s="171" t="str">
        <f t="shared" si="21"/>
        <v>■</v>
      </c>
      <c r="P78" s="171" t="str">
        <f t="shared" si="21"/>
        <v>■</v>
      </c>
      <c r="Q78" s="171" t="str">
        <f t="shared" si="21"/>
        <v>■</v>
      </c>
      <c r="R78" s="171" t="str">
        <f t="shared" si="21"/>
        <v>■</v>
      </c>
      <c r="S78" s="171" t="str">
        <f t="shared" si="21"/>
        <v>■</v>
      </c>
      <c r="T78" s="171" t="str">
        <f t="shared" si="21"/>
        <v>■</v>
      </c>
      <c r="U78" s="171" t="str">
        <f t="shared" si="21"/>
        <v>■</v>
      </c>
      <c r="V78" s="178" t="str">
        <f t="shared" si="21"/>
        <v>■</v>
      </c>
      <c r="AT78" s="235"/>
      <c r="AU78" s="235"/>
      <c r="AV78" s="235"/>
      <c r="AW78" s="235"/>
    </row>
    <row r="79" spans="1:49" ht="22.5" customHeight="1">
      <c r="A79" s="175" t="s">
        <v>28</v>
      </c>
      <c r="B79" s="169" t="s">
        <v>97</v>
      </c>
      <c r="C79" s="170">
        <v>46143</v>
      </c>
      <c r="D79" s="170">
        <v>46264</v>
      </c>
      <c r="E79" s="200" t="str">
        <f t="shared" si="20"/>
        <v>■</v>
      </c>
      <c r="F79" s="200" t="str">
        <f t="shared" si="20"/>
        <v>■</v>
      </c>
      <c r="G79" s="200" t="str">
        <f t="shared" si="20"/>
        <v>■</v>
      </c>
      <c r="H79" s="200" t="str">
        <f t="shared" si="20"/>
        <v>■</v>
      </c>
      <c r="I79" s="200" t="str">
        <f t="shared" si="20"/>
        <v>■</v>
      </c>
      <c r="J79" s="200" t="str">
        <f t="shared" si="20"/>
        <v>■</v>
      </c>
      <c r="K79" s="200" t="str">
        <f t="shared" si="20"/>
        <v>■</v>
      </c>
      <c r="L79" s="200" t="str">
        <f t="shared" si="20"/>
        <v>■</v>
      </c>
      <c r="M79" s="200" t="str">
        <f t="shared" si="20"/>
        <v>■</v>
      </c>
      <c r="N79" s="200" t="str">
        <f t="shared" si="20"/>
        <v>■</v>
      </c>
      <c r="O79" s="200" t="str">
        <f t="shared" si="21"/>
        <v>■</v>
      </c>
      <c r="P79" s="200" t="str">
        <f t="shared" si="21"/>
        <v>■</v>
      </c>
      <c r="Q79" s="200" t="str">
        <f t="shared" si="21"/>
        <v>■</v>
      </c>
      <c r="R79" s="200" t="str">
        <f t="shared" si="21"/>
        <v>■</v>
      </c>
      <c r="S79" s="200" t="str">
        <f t="shared" si="21"/>
        <v>■</v>
      </c>
      <c r="T79" s="200" t="str">
        <f t="shared" si="21"/>
        <v>■</v>
      </c>
      <c r="U79" s="200" t="str">
        <f t="shared" si="21"/>
        <v>■</v>
      </c>
      <c r="V79" s="179" t="str">
        <f t="shared" si="21"/>
        <v>■</v>
      </c>
      <c r="AT79" s="235"/>
      <c r="AU79" s="235"/>
      <c r="AV79" s="235"/>
      <c r="AW79" s="235"/>
    </row>
    <row r="80" spans="1:49" ht="22.5" customHeight="1">
      <c r="A80" s="175" t="s">
        <v>28</v>
      </c>
      <c r="B80" s="169" t="s">
        <v>99</v>
      </c>
      <c r="C80" s="170">
        <v>46204</v>
      </c>
      <c r="D80" s="170">
        <v>46264</v>
      </c>
      <c r="E80" s="200" t="str">
        <f t="shared" si="20"/>
        <v/>
      </c>
      <c r="F80" s="200" t="str">
        <f t="shared" si="20"/>
        <v/>
      </c>
      <c r="G80" s="200" t="str">
        <f t="shared" si="20"/>
        <v/>
      </c>
      <c r="H80" s="200" t="str">
        <f t="shared" si="20"/>
        <v/>
      </c>
      <c r="I80" s="200" t="str">
        <f t="shared" si="20"/>
        <v/>
      </c>
      <c r="J80" s="200" t="str">
        <f t="shared" si="20"/>
        <v/>
      </c>
      <c r="K80" s="200" t="str">
        <f t="shared" si="20"/>
        <v/>
      </c>
      <c r="L80" s="200" t="str">
        <f t="shared" si="20"/>
        <v/>
      </c>
      <c r="M80" s="200" t="str">
        <f t="shared" si="20"/>
        <v/>
      </c>
      <c r="N80" s="200" t="str">
        <f t="shared" si="20"/>
        <v>■</v>
      </c>
      <c r="O80" s="200" t="str">
        <f t="shared" si="21"/>
        <v>■</v>
      </c>
      <c r="P80" s="200" t="str">
        <f t="shared" si="21"/>
        <v>■</v>
      </c>
      <c r="Q80" s="200" t="str">
        <f t="shared" si="21"/>
        <v>■</v>
      </c>
      <c r="R80" s="200" t="str">
        <f t="shared" si="21"/>
        <v>■</v>
      </c>
      <c r="S80" s="200" t="str">
        <f t="shared" si="21"/>
        <v>■</v>
      </c>
      <c r="T80" s="200" t="str">
        <f t="shared" si="21"/>
        <v>■</v>
      </c>
      <c r="U80" s="200" t="str">
        <f t="shared" si="21"/>
        <v>■</v>
      </c>
      <c r="V80" s="179" t="str">
        <f t="shared" si="21"/>
        <v>■</v>
      </c>
      <c r="AT80" s="235"/>
      <c r="AU80" s="235"/>
      <c r="AV80" s="235"/>
      <c r="AW80" s="235"/>
    </row>
    <row r="81" spans="1:49" ht="22.5" customHeight="1">
      <c r="A81" s="176" t="s">
        <v>28</v>
      </c>
      <c r="B81" s="172" t="s">
        <v>100</v>
      </c>
      <c r="C81" s="173">
        <v>46204</v>
      </c>
      <c r="D81" s="173">
        <v>46264</v>
      </c>
      <c r="E81" s="174" t="str">
        <f t="shared" si="20"/>
        <v/>
      </c>
      <c r="F81" s="174" t="str">
        <f t="shared" si="20"/>
        <v/>
      </c>
      <c r="G81" s="174" t="str">
        <f t="shared" si="20"/>
        <v/>
      </c>
      <c r="H81" s="174" t="str">
        <f t="shared" si="20"/>
        <v/>
      </c>
      <c r="I81" s="174" t="str">
        <f t="shared" si="20"/>
        <v/>
      </c>
      <c r="J81" s="174" t="str">
        <f t="shared" si="20"/>
        <v/>
      </c>
      <c r="K81" s="174" t="str">
        <f t="shared" si="20"/>
        <v/>
      </c>
      <c r="L81" s="174" t="str">
        <f t="shared" si="20"/>
        <v/>
      </c>
      <c r="M81" s="174" t="str">
        <f t="shared" si="20"/>
        <v/>
      </c>
      <c r="N81" s="174" t="str">
        <f t="shared" si="20"/>
        <v>■</v>
      </c>
      <c r="O81" s="174" t="str">
        <f t="shared" si="21"/>
        <v>■</v>
      </c>
      <c r="P81" s="174" t="str">
        <f t="shared" si="21"/>
        <v>■</v>
      </c>
      <c r="Q81" s="174" t="str">
        <f t="shared" si="21"/>
        <v>■</v>
      </c>
      <c r="R81" s="174" t="str">
        <f t="shared" si="21"/>
        <v>■</v>
      </c>
      <c r="S81" s="174" t="str">
        <f t="shared" si="21"/>
        <v>■</v>
      </c>
      <c r="T81" s="174" t="str">
        <f t="shared" si="21"/>
        <v>■</v>
      </c>
      <c r="U81" s="174" t="str">
        <f t="shared" si="21"/>
        <v>■</v>
      </c>
      <c r="V81" s="180" t="str">
        <f t="shared" si="21"/>
        <v>■</v>
      </c>
      <c r="AT81" s="235"/>
      <c r="AU81" s="235"/>
      <c r="AV81" s="235"/>
      <c r="AW81" s="235"/>
    </row>
    <row r="82" spans="1:49" s="208" customFormat="1" ht="22.5" customHeight="1">
      <c r="A82" s="292" t="s">
        <v>203</v>
      </c>
      <c r="B82" s="292"/>
      <c r="C82" s="292"/>
      <c r="D82" s="292"/>
      <c r="E82" s="292"/>
      <c r="F82" s="292"/>
      <c r="G82" s="292"/>
      <c r="H82" s="292"/>
      <c r="I82" s="292"/>
      <c r="J82" s="292"/>
      <c r="K82" s="292"/>
      <c r="L82" s="292"/>
      <c r="M82" s="292"/>
      <c r="N82" s="292"/>
      <c r="O82" s="292"/>
      <c r="P82" s="292"/>
      <c r="Q82" s="292"/>
      <c r="R82" s="292"/>
      <c r="S82" s="292"/>
      <c r="T82" s="292"/>
      <c r="U82" s="292"/>
      <c r="V82" s="292"/>
      <c r="W82" s="209"/>
      <c r="X82" s="294" t="s">
        <v>204</v>
      </c>
      <c r="Y82" s="294"/>
      <c r="Z82" s="294"/>
      <c r="AA82" s="294"/>
      <c r="AB82" s="294"/>
      <c r="AC82" s="294"/>
      <c r="AD82" s="294"/>
      <c r="AE82" s="294"/>
      <c r="AF82" s="294"/>
      <c r="AG82" s="294"/>
      <c r="AH82" s="294"/>
      <c r="AI82" s="294"/>
      <c r="AJ82" s="294"/>
      <c r="AK82" s="294"/>
      <c r="AL82" s="294"/>
      <c r="AM82" s="294"/>
      <c r="AN82" s="294"/>
      <c r="AO82" s="294"/>
      <c r="AP82" s="294"/>
      <c r="AQ82" s="294"/>
      <c r="AR82" s="294"/>
      <c r="AS82" s="294"/>
      <c r="AT82" s="237" t="str" cm="1">
        <f t="array" ref="AT82">_xlfn.LET(_xlpm.mL,A82,_xlpm.aL,B82,_xlpm.mR,X82,_xlpm.aR,Y82,_xlpm.useR,AND(_xlpm.mR&lt;&gt;"",_xlpm.mR&lt;&gt;"Model",LEFT(_xlpm.mR,6)&lt;&gt;"Markt:"),_xlpm.m,IF(_xlpm.useR,_xlpm.mR,_xlpm.mL),_xlpm.a,IF(_xlpm.useR,_xlpm.aR,_xlpm.aL),_xlpm.rng,IF(_xlpm.useR,X$1:X82,A$1:A82),IF(OR(_xlpm.m="",_xlpm.m="Model",LEFT(_xlpm.m,6)="Markt:"),"",_xlfn.LET(_xlpm.mkt,LOOKUP(2,1/(LEFT(_xlpm.rng,6)="Markt:"),_xlpm.rng),_xlpm.mktNameRaw,TRIM(MID(_xlpm.mkt,FIND(":",_xlpm.mkt)+1,99)),_xlpm.mktName,TRIM(SUBSTITUTE(_xlpm.mktNameRaw,"(Survey)","")),_xlfn.XLOOKUP(_xlpm.mktName&amp;"|"&amp;SUBSTITUTE(_xlpm.m," ","")&amp;"|"&amp;_xlpm.a,tblMassnahmen[Key],tblMassnahmen[Kanal],""))))</f>
        <v/>
      </c>
      <c r="AU82" s="237" t="str" cm="1">
        <f t="array" ref="AU82">_xlfn.LET(_xlpm.mL,A82,_xlpm.aL,B82,_xlpm.mR,X82,_xlpm.aR,Y82,_xlpm.useR,AND(_xlpm.mR&lt;&gt;"",_xlpm.mR&lt;&gt;"Model",LEFT(_xlpm.mR,6)&lt;&gt;"Markt:"),_xlpm.m,IF(_xlpm.useR,_xlpm.mR,_xlpm.mL),_xlpm.a,IF(_xlpm.useR,_xlpm.aR,_xlpm.aL),_xlpm.rng,IF(_xlpm.useR,X$1:X82,A$1:A82),IF(OR(_xlpm.m="",_xlpm.m="Model",LEFT(_xlpm.m,6)="Markt:"),"",_xlfn.LET(_xlpm.mkt,LOOKUP(2,1/(LEFT(_xlpm.rng,6)="Markt:"),_xlpm.rng),_xlpm.mktNameRaw,TRIM(MID(_xlpm.mkt,FIND(":",_xlpm.mkt)+1,99)),_xlpm.mktName,TRIM(SUBSTITUTE(_xlpm.mktNameRaw,"(Survey)","")),_xlfn.XLOOKUP(_xlpm.mktName&amp;"|"&amp;SUBSTITUTE(_xlpm.m," ","")&amp;"|"&amp;_xlpm.a,tblMassnahmen[Key],tblMassnahmen[Budget],""))))</f>
        <v/>
      </c>
      <c r="AV82" s="237" t="str" cm="1">
        <f t="array" ref="AV82">_xlfn.LET(_xlpm.mL,A82,_xlpm.aL,B82,_xlpm.mR,X82,_xlpm.aR,Y82,_xlpm.useR,AND(_xlpm.mR&lt;&gt;"",_xlpm.mR&lt;&gt;"Model",LEFT(_xlpm.mR,6)&lt;&gt;"Markt:"),_xlpm.m,IF(_xlpm.useR,_xlpm.mR,_xlpm.mL),_xlpm.a,IF(_xlpm.useR,_xlpm.aR,_xlpm.aL),_xlpm.rng,IF(_xlpm.useR,X$1:X82,A$1:A82),IF(OR(_xlpm.m="",_xlpm.m="Model",LEFT(_xlpm.m,6)="Markt:"),"",_xlfn.LET(_xlpm.mkt,LOOKUP(2,1/(LEFT(_xlpm.rng,6)="Markt:"),_xlpm.rng),_xlpm.mktNameRaw,TRIM(MID(_xlpm.mkt,FIND(":",_xlpm.mkt)+1,99)),_xlpm.mktName,TRIM(SUBSTITUTE(_xlpm.mktNameRaw,"(Survey)","")),_xlfn.XLOOKUP(_xlpm.mktName&amp;"|"&amp;SUBSTITUTE(_xlpm.m," ","")&amp;"|"&amp;_xlpm.a,tblMassnahmen[Key],tblMassnahmen[KPI],""))))</f>
        <v/>
      </c>
      <c r="AW82" s="198"/>
    </row>
    <row r="83" spans="1:49" s="208" customFormat="1" ht="22.5" customHeight="1">
      <c r="A83" s="186" t="s">
        <v>105</v>
      </c>
      <c r="B83" s="187" t="s">
        <v>106</v>
      </c>
      <c r="C83" s="181" t="s">
        <v>95</v>
      </c>
      <c r="D83" s="181" t="s">
        <v>96</v>
      </c>
      <c r="E83" s="184" t="s">
        <v>107</v>
      </c>
      <c r="F83" s="184" t="s">
        <v>108</v>
      </c>
      <c r="G83" s="184" t="s">
        <v>109</v>
      </c>
      <c r="H83" s="184" t="s">
        <v>110</v>
      </c>
      <c r="I83" s="184" t="s">
        <v>111</v>
      </c>
      <c r="J83" s="184" t="s">
        <v>112</v>
      </c>
      <c r="K83" s="184" t="s">
        <v>113</v>
      </c>
      <c r="L83" s="184" t="s">
        <v>114</v>
      </c>
      <c r="M83" s="184" t="s">
        <v>115</v>
      </c>
      <c r="N83" s="184" t="s">
        <v>116</v>
      </c>
      <c r="O83" s="184" t="s">
        <v>117</v>
      </c>
      <c r="P83" s="184" t="s">
        <v>118</v>
      </c>
      <c r="Q83" s="184" t="s">
        <v>119</v>
      </c>
      <c r="R83" s="184" t="s">
        <v>120</v>
      </c>
      <c r="S83" s="184" t="s">
        <v>121</v>
      </c>
      <c r="T83" s="184" t="s">
        <v>122</v>
      </c>
      <c r="U83" s="184" t="s">
        <v>123</v>
      </c>
      <c r="V83" s="185" t="s">
        <v>124</v>
      </c>
      <c r="W83" s="209"/>
      <c r="X83" s="219" t="s">
        <v>105</v>
      </c>
      <c r="Y83" s="220" t="s">
        <v>125</v>
      </c>
      <c r="Z83" s="184" t="s">
        <v>95</v>
      </c>
      <c r="AA83" s="184" t="s">
        <v>96</v>
      </c>
      <c r="AB83" s="184" t="s">
        <v>107</v>
      </c>
      <c r="AC83" s="184" t="s">
        <v>108</v>
      </c>
      <c r="AD83" s="184" t="s">
        <v>109</v>
      </c>
      <c r="AE83" s="184" t="s">
        <v>110</v>
      </c>
      <c r="AF83" s="184" t="s">
        <v>111</v>
      </c>
      <c r="AG83" s="184" t="s">
        <v>112</v>
      </c>
      <c r="AH83" s="184" t="s">
        <v>113</v>
      </c>
      <c r="AI83" s="184" t="s">
        <v>114</v>
      </c>
      <c r="AJ83" s="184" t="s">
        <v>115</v>
      </c>
      <c r="AK83" s="184" t="s">
        <v>116</v>
      </c>
      <c r="AL83" s="184" t="s">
        <v>117</v>
      </c>
      <c r="AM83" s="184" t="s">
        <v>118</v>
      </c>
      <c r="AN83" s="184" t="s">
        <v>119</v>
      </c>
      <c r="AO83" s="184" t="s">
        <v>120</v>
      </c>
      <c r="AP83" s="184" t="s">
        <v>121</v>
      </c>
      <c r="AQ83" s="184" t="s">
        <v>122</v>
      </c>
      <c r="AR83" s="184" t="s">
        <v>123</v>
      </c>
      <c r="AS83" s="185" t="s">
        <v>124</v>
      </c>
      <c r="AT83" s="202" t="s">
        <v>126</v>
      </c>
      <c r="AU83" s="201" t="s">
        <v>127</v>
      </c>
      <c r="AV83" s="201" t="s">
        <v>128</v>
      </c>
      <c r="AW83" s="203" t="s">
        <v>129</v>
      </c>
    </row>
    <row r="84" spans="1:49" ht="22.5" customHeight="1">
      <c r="A84" s="175" t="s">
        <v>20</v>
      </c>
      <c r="B84" s="169" t="s">
        <v>97</v>
      </c>
      <c r="C84" s="170">
        <v>46143</v>
      </c>
      <c r="D84" s="170">
        <v>46264</v>
      </c>
      <c r="E84" s="199" t="str">
        <f t="shared" ref="E84:N95" si="24">IFERROR(IF(OR($A84="",$A84="Model",LEFT($A84,5)="Markt"),"",IF(AND($C84&lt;=E$3+6,$D84&gt;=E$3),"■","")),"")</f>
        <v>■</v>
      </c>
      <c r="F84" s="199" t="str">
        <f t="shared" si="24"/>
        <v>■</v>
      </c>
      <c r="G84" s="199" t="str">
        <f t="shared" si="24"/>
        <v>■</v>
      </c>
      <c r="H84" s="199" t="str">
        <f t="shared" si="24"/>
        <v>■</v>
      </c>
      <c r="I84" s="199" t="str">
        <f t="shared" si="24"/>
        <v>■</v>
      </c>
      <c r="J84" s="199" t="str">
        <f t="shared" si="24"/>
        <v>■</v>
      </c>
      <c r="K84" s="199" t="str">
        <f t="shared" si="24"/>
        <v>■</v>
      </c>
      <c r="L84" s="199" t="str">
        <f t="shared" si="24"/>
        <v>■</v>
      </c>
      <c r="M84" s="199" t="str">
        <f t="shared" si="24"/>
        <v>■</v>
      </c>
      <c r="N84" s="199" t="str">
        <f t="shared" si="24"/>
        <v>■</v>
      </c>
      <c r="O84" s="199" t="str">
        <f t="shared" ref="O84:V95" si="25">IFERROR(IF(OR($A84="",$A84="Model",LEFT($A84,5)="Markt"),"",IF(AND($C84&lt;=O$3+6,$D84&gt;=O$3),"■","")),"")</f>
        <v>■</v>
      </c>
      <c r="P84" s="199" t="str">
        <f t="shared" si="25"/>
        <v>■</v>
      </c>
      <c r="Q84" s="199" t="str">
        <f t="shared" si="25"/>
        <v>■</v>
      </c>
      <c r="R84" s="199" t="str">
        <f t="shared" si="25"/>
        <v>■</v>
      </c>
      <c r="S84" s="199" t="str">
        <f t="shared" si="25"/>
        <v>■</v>
      </c>
      <c r="T84" s="199" t="str">
        <f t="shared" si="25"/>
        <v>■</v>
      </c>
      <c r="U84" s="199" t="str">
        <f t="shared" si="25"/>
        <v>■</v>
      </c>
      <c r="V84" s="177" t="str">
        <f t="shared" si="25"/>
        <v>■</v>
      </c>
      <c r="X84" s="211" t="s">
        <v>133</v>
      </c>
      <c r="Y84" s="214" t="s">
        <v>205</v>
      </c>
      <c r="Z84" s="215">
        <v>46131</v>
      </c>
      <c r="AA84" s="215">
        <v>46233</v>
      </c>
      <c r="AB84" s="199" t="str">
        <f t="shared" ref="AB84:AK86" si="26">IF(AND($Z84&lt;=(AB$3+6),$AA84&gt;=AB$3),"■","")</f>
        <v>■</v>
      </c>
      <c r="AC84" s="199" t="str">
        <f t="shared" si="26"/>
        <v>■</v>
      </c>
      <c r="AD84" s="199" t="str">
        <f t="shared" si="26"/>
        <v>■</v>
      </c>
      <c r="AE84" s="199" t="str">
        <f t="shared" si="26"/>
        <v>■</v>
      </c>
      <c r="AF84" s="199" t="str">
        <f t="shared" si="26"/>
        <v>■</v>
      </c>
      <c r="AG84" s="199" t="str">
        <f t="shared" si="26"/>
        <v>■</v>
      </c>
      <c r="AH84" s="199" t="str">
        <f t="shared" si="26"/>
        <v>■</v>
      </c>
      <c r="AI84" s="199" t="str">
        <f t="shared" si="26"/>
        <v>■</v>
      </c>
      <c r="AJ84" s="199" t="str">
        <f t="shared" si="26"/>
        <v>■</v>
      </c>
      <c r="AK84" s="199" t="str">
        <f t="shared" si="26"/>
        <v>■</v>
      </c>
      <c r="AL84" s="199" t="str">
        <f t="shared" ref="AL84:AS86" si="27">IF(AND($Z84&lt;=(AL$3+6),$AA84&gt;=AL$3),"■","")</f>
        <v>■</v>
      </c>
      <c r="AM84" s="199" t="str">
        <f t="shared" si="27"/>
        <v>■</v>
      </c>
      <c r="AN84" s="199" t="str">
        <f t="shared" si="27"/>
        <v>■</v>
      </c>
      <c r="AO84" s="199" t="str">
        <f t="shared" si="27"/>
        <v>■</v>
      </c>
      <c r="AP84" s="199" t="str">
        <f t="shared" si="27"/>
        <v/>
      </c>
      <c r="AQ84" s="199" t="str">
        <f t="shared" si="27"/>
        <v/>
      </c>
      <c r="AR84" s="199" t="str">
        <f t="shared" si="27"/>
        <v/>
      </c>
      <c r="AS84" s="177" t="str">
        <f t="shared" si="27"/>
        <v/>
      </c>
      <c r="AT84" s="204" t="s">
        <v>206</v>
      </c>
      <c r="AU84" s="235" t="s">
        <v>207</v>
      </c>
      <c r="AV84" s="235" t="s">
        <v>208</v>
      </c>
      <c r="AW84" s="205" t="s">
        <v>209</v>
      </c>
    </row>
    <row r="85" spans="1:49" ht="22.5" customHeight="1">
      <c r="A85" s="175" t="s">
        <v>20</v>
      </c>
      <c r="B85" s="169" t="s">
        <v>98</v>
      </c>
      <c r="C85" s="170">
        <v>46143</v>
      </c>
      <c r="D85" s="170">
        <v>46264</v>
      </c>
      <c r="E85" s="199" t="str">
        <f t="shared" si="24"/>
        <v>■</v>
      </c>
      <c r="F85" s="199" t="str">
        <f t="shared" si="24"/>
        <v>■</v>
      </c>
      <c r="G85" s="199" t="str">
        <f t="shared" si="24"/>
        <v>■</v>
      </c>
      <c r="H85" s="199" t="str">
        <f t="shared" si="24"/>
        <v>■</v>
      </c>
      <c r="I85" s="199" t="str">
        <f t="shared" si="24"/>
        <v>■</v>
      </c>
      <c r="J85" s="199" t="str">
        <f t="shared" si="24"/>
        <v>■</v>
      </c>
      <c r="K85" s="199" t="str">
        <f t="shared" si="24"/>
        <v>■</v>
      </c>
      <c r="L85" s="199" t="str">
        <f t="shared" si="24"/>
        <v>■</v>
      </c>
      <c r="M85" s="199" t="str">
        <f t="shared" si="24"/>
        <v>■</v>
      </c>
      <c r="N85" s="199" t="str">
        <f t="shared" si="24"/>
        <v>■</v>
      </c>
      <c r="O85" s="199" t="str">
        <f t="shared" si="25"/>
        <v>■</v>
      </c>
      <c r="P85" s="199" t="str">
        <f t="shared" si="25"/>
        <v>■</v>
      </c>
      <c r="Q85" s="199" t="str">
        <f t="shared" si="25"/>
        <v>■</v>
      </c>
      <c r="R85" s="199" t="str">
        <f t="shared" si="25"/>
        <v>■</v>
      </c>
      <c r="S85" s="199" t="str">
        <f t="shared" si="25"/>
        <v>■</v>
      </c>
      <c r="T85" s="199" t="str">
        <f t="shared" si="25"/>
        <v>■</v>
      </c>
      <c r="U85" s="199" t="str">
        <f t="shared" si="25"/>
        <v>■</v>
      </c>
      <c r="V85" s="177" t="str">
        <f t="shared" si="25"/>
        <v>■</v>
      </c>
      <c r="X85" s="211" t="s">
        <v>22</v>
      </c>
      <c r="Y85" s="214" t="s">
        <v>210</v>
      </c>
      <c r="Z85" s="216">
        <v>46138</v>
      </c>
      <c r="AA85" s="216">
        <v>46325</v>
      </c>
      <c r="AB85" s="171" t="str">
        <f t="shared" si="26"/>
        <v>■</v>
      </c>
      <c r="AC85" s="171" t="str">
        <f t="shared" si="26"/>
        <v>■</v>
      </c>
      <c r="AD85" s="171" t="str">
        <f t="shared" si="26"/>
        <v>■</v>
      </c>
      <c r="AE85" s="171" t="str">
        <f t="shared" si="26"/>
        <v>■</v>
      </c>
      <c r="AF85" s="171" t="str">
        <f t="shared" si="26"/>
        <v>■</v>
      </c>
      <c r="AG85" s="171" t="str">
        <f t="shared" si="26"/>
        <v>■</v>
      </c>
      <c r="AH85" s="171" t="str">
        <f t="shared" si="26"/>
        <v>■</v>
      </c>
      <c r="AI85" s="171" t="str">
        <f t="shared" si="26"/>
        <v>■</v>
      </c>
      <c r="AJ85" s="171" t="str">
        <f t="shared" si="26"/>
        <v>■</v>
      </c>
      <c r="AK85" s="171" t="str">
        <f t="shared" si="26"/>
        <v>■</v>
      </c>
      <c r="AL85" s="171" t="str">
        <f t="shared" si="27"/>
        <v>■</v>
      </c>
      <c r="AM85" s="171" t="str">
        <f t="shared" si="27"/>
        <v>■</v>
      </c>
      <c r="AN85" s="171" t="str">
        <f t="shared" si="27"/>
        <v>■</v>
      </c>
      <c r="AO85" s="171" t="str">
        <f t="shared" si="27"/>
        <v>■</v>
      </c>
      <c r="AP85" s="171" t="str">
        <f t="shared" si="27"/>
        <v>■</v>
      </c>
      <c r="AQ85" s="171" t="str">
        <f t="shared" si="27"/>
        <v>■</v>
      </c>
      <c r="AR85" s="171" t="str">
        <f t="shared" si="27"/>
        <v>■</v>
      </c>
      <c r="AS85" s="178" t="str">
        <f t="shared" si="27"/>
        <v>■</v>
      </c>
      <c r="AT85" s="204" t="s">
        <v>206</v>
      </c>
      <c r="AU85" s="235" t="s">
        <v>211</v>
      </c>
      <c r="AV85" s="235" t="s">
        <v>212</v>
      </c>
      <c r="AW85" s="205" t="s">
        <v>213</v>
      </c>
    </row>
    <row r="86" spans="1:49" ht="22.5" customHeight="1">
      <c r="A86" s="175" t="s">
        <v>20</v>
      </c>
      <c r="B86" s="169" t="s">
        <v>99</v>
      </c>
      <c r="C86" s="170">
        <v>46143</v>
      </c>
      <c r="D86" s="170">
        <v>46264</v>
      </c>
      <c r="E86" s="199" t="str">
        <f t="shared" si="24"/>
        <v>■</v>
      </c>
      <c r="F86" s="199" t="str">
        <f t="shared" si="24"/>
        <v>■</v>
      </c>
      <c r="G86" s="199" t="str">
        <f t="shared" si="24"/>
        <v>■</v>
      </c>
      <c r="H86" s="199" t="str">
        <f t="shared" si="24"/>
        <v>■</v>
      </c>
      <c r="I86" s="199" t="str">
        <f t="shared" si="24"/>
        <v>■</v>
      </c>
      <c r="J86" s="199" t="str">
        <f t="shared" si="24"/>
        <v>■</v>
      </c>
      <c r="K86" s="199" t="str">
        <f t="shared" si="24"/>
        <v>■</v>
      </c>
      <c r="L86" s="199" t="str">
        <f t="shared" si="24"/>
        <v>■</v>
      </c>
      <c r="M86" s="199" t="str">
        <f t="shared" si="24"/>
        <v>■</v>
      </c>
      <c r="N86" s="199" t="str">
        <f t="shared" si="24"/>
        <v>■</v>
      </c>
      <c r="O86" s="199" t="str">
        <f t="shared" si="25"/>
        <v>■</v>
      </c>
      <c r="P86" s="199" t="str">
        <f t="shared" si="25"/>
        <v>■</v>
      </c>
      <c r="Q86" s="199" t="str">
        <f t="shared" si="25"/>
        <v>■</v>
      </c>
      <c r="R86" s="199" t="str">
        <f t="shared" si="25"/>
        <v>■</v>
      </c>
      <c r="S86" s="199" t="str">
        <f t="shared" si="25"/>
        <v>■</v>
      </c>
      <c r="T86" s="199" t="str">
        <f t="shared" si="25"/>
        <v>■</v>
      </c>
      <c r="U86" s="199" t="str">
        <f t="shared" si="25"/>
        <v>■</v>
      </c>
      <c r="V86" s="177" t="str">
        <f t="shared" si="25"/>
        <v>■</v>
      </c>
      <c r="X86" s="212" t="s">
        <v>28</v>
      </c>
      <c r="Y86" s="213" t="s">
        <v>214</v>
      </c>
      <c r="Z86" s="218">
        <v>46096</v>
      </c>
      <c r="AA86" s="218">
        <v>46141</v>
      </c>
      <c r="AB86" s="174" t="str">
        <f t="shared" si="26"/>
        <v>■</v>
      </c>
      <c r="AC86" s="174" t="str">
        <f t="shared" si="26"/>
        <v/>
      </c>
      <c r="AD86" s="174" t="str">
        <f t="shared" si="26"/>
        <v/>
      </c>
      <c r="AE86" s="174" t="str">
        <f t="shared" si="26"/>
        <v/>
      </c>
      <c r="AF86" s="174" t="str">
        <f t="shared" si="26"/>
        <v/>
      </c>
      <c r="AG86" s="174" t="str">
        <f t="shared" si="26"/>
        <v/>
      </c>
      <c r="AH86" s="174" t="str">
        <f t="shared" si="26"/>
        <v/>
      </c>
      <c r="AI86" s="174" t="str">
        <f t="shared" si="26"/>
        <v/>
      </c>
      <c r="AJ86" s="174" t="str">
        <f t="shared" si="26"/>
        <v/>
      </c>
      <c r="AK86" s="174" t="str">
        <f t="shared" si="26"/>
        <v/>
      </c>
      <c r="AL86" s="174" t="str">
        <f t="shared" si="27"/>
        <v/>
      </c>
      <c r="AM86" s="174" t="str">
        <f t="shared" si="27"/>
        <v/>
      </c>
      <c r="AN86" s="174" t="str">
        <f t="shared" si="27"/>
        <v/>
      </c>
      <c r="AO86" s="174" t="str">
        <f t="shared" si="27"/>
        <v/>
      </c>
      <c r="AP86" s="174" t="str">
        <f t="shared" si="27"/>
        <v/>
      </c>
      <c r="AQ86" s="174" t="str">
        <f t="shared" si="27"/>
        <v/>
      </c>
      <c r="AR86" s="174" t="str">
        <f t="shared" si="27"/>
        <v/>
      </c>
      <c r="AS86" s="180" t="str">
        <f t="shared" si="27"/>
        <v/>
      </c>
      <c r="AT86" s="206" t="s">
        <v>215</v>
      </c>
      <c r="AU86" s="207" t="s">
        <v>216</v>
      </c>
      <c r="AV86" s="207" t="s">
        <v>217</v>
      </c>
      <c r="AW86" s="239" t="s">
        <v>218</v>
      </c>
    </row>
    <row r="87" spans="1:49" ht="22.5" customHeight="1">
      <c r="A87" s="175" t="s">
        <v>20</v>
      </c>
      <c r="B87" s="169" t="s">
        <v>100</v>
      </c>
      <c r="C87" s="170">
        <v>46204</v>
      </c>
      <c r="D87" s="170">
        <v>46264</v>
      </c>
      <c r="E87" s="199" t="str">
        <f t="shared" si="24"/>
        <v/>
      </c>
      <c r="F87" s="199" t="str">
        <f t="shared" si="24"/>
        <v/>
      </c>
      <c r="G87" s="199" t="str">
        <f t="shared" si="24"/>
        <v/>
      </c>
      <c r="H87" s="199" t="str">
        <f t="shared" si="24"/>
        <v/>
      </c>
      <c r="I87" s="199" t="str">
        <f t="shared" si="24"/>
        <v/>
      </c>
      <c r="J87" s="199" t="str">
        <f t="shared" si="24"/>
        <v/>
      </c>
      <c r="K87" s="199" t="str">
        <f t="shared" si="24"/>
        <v/>
      </c>
      <c r="L87" s="199" t="str">
        <f t="shared" si="24"/>
        <v/>
      </c>
      <c r="M87" s="199" t="str">
        <f t="shared" si="24"/>
        <v/>
      </c>
      <c r="N87" s="199" t="str">
        <f t="shared" si="24"/>
        <v>■</v>
      </c>
      <c r="O87" s="199" t="str">
        <f t="shared" si="25"/>
        <v>■</v>
      </c>
      <c r="P87" s="199" t="str">
        <f t="shared" si="25"/>
        <v>■</v>
      </c>
      <c r="Q87" s="199" t="str">
        <f t="shared" si="25"/>
        <v>■</v>
      </c>
      <c r="R87" s="199" t="str">
        <f t="shared" si="25"/>
        <v>■</v>
      </c>
      <c r="S87" s="199" t="str">
        <f t="shared" si="25"/>
        <v>■</v>
      </c>
      <c r="T87" s="199" t="str">
        <f t="shared" si="25"/>
        <v>■</v>
      </c>
      <c r="U87" s="199" t="str">
        <f t="shared" si="25"/>
        <v>■</v>
      </c>
      <c r="V87" s="177" t="str">
        <f t="shared" si="25"/>
        <v>■</v>
      </c>
      <c r="X87" s="214"/>
      <c r="Y87" s="214"/>
      <c r="Z87" s="170"/>
      <c r="AA87" s="170"/>
      <c r="AB87" s="171"/>
      <c r="AC87" s="171"/>
      <c r="AD87" s="171"/>
      <c r="AE87" s="171"/>
      <c r="AF87" s="171"/>
      <c r="AG87" s="171"/>
      <c r="AH87" s="171"/>
      <c r="AI87" s="171"/>
      <c r="AJ87" s="171"/>
      <c r="AK87" s="171"/>
      <c r="AL87" s="171"/>
      <c r="AM87" s="171"/>
      <c r="AN87" s="171"/>
      <c r="AO87" s="171"/>
      <c r="AP87" s="171"/>
      <c r="AQ87" s="171"/>
      <c r="AR87" s="171"/>
      <c r="AS87" s="171"/>
      <c r="AT87" s="235"/>
      <c r="AU87" s="235"/>
      <c r="AV87" s="235"/>
      <c r="AW87" s="235"/>
    </row>
    <row r="88" spans="1:49" ht="22.5" customHeight="1">
      <c r="A88" s="175" t="s">
        <v>22</v>
      </c>
      <c r="B88" s="169" t="s">
        <v>97</v>
      </c>
      <c r="C88" s="170">
        <v>46143</v>
      </c>
      <c r="D88" s="170">
        <v>46264</v>
      </c>
      <c r="E88" s="171" t="str">
        <f t="shared" si="24"/>
        <v>■</v>
      </c>
      <c r="F88" s="171" t="str">
        <f t="shared" si="24"/>
        <v>■</v>
      </c>
      <c r="G88" s="171" t="str">
        <f t="shared" si="24"/>
        <v>■</v>
      </c>
      <c r="H88" s="171" t="str">
        <f t="shared" si="24"/>
        <v>■</v>
      </c>
      <c r="I88" s="171" t="str">
        <f t="shared" si="24"/>
        <v>■</v>
      </c>
      <c r="J88" s="171" t="str">
        <f t="shared" si="24"/>
        <v>■</v>
      </c>
      <c r="K88" s="171" t="str">
        <f t="shared" si="24"/>
        <v>■</v>
      </c>
      <c r="L88" s="171" t="str">
        <f t="shared" si="24"/>
        <v>■</v>
      </c>
      <c r="M88" s="171" t="str">
        <f t="shared" si="24"/>
        <v>■</v>
      </c>
      <c r="N88" s="171" t="str">
        <f t="shared" si="24"/>
        <v>■</v>
      </c>
      <c r="O88" s="171" t="str">
        <f t="shared" si="25"/>
        <v>■</v>
      </c>
      <c r="P88" s="171" t="str">
        <f t="shared" si="25"/>
        <v>■</v>
      </c>
      <c r="Q88" s="171" t="str">
        <f t="shared" si="25"/>
        <v>■</v>
      </c>
      <c r="R88" s="171" t="str">
        <f t="shared" si="25"/>
        <v>■</v>
      </c>
      <c r="S88" s="171" t="str">
        <f t="shared" si="25"/>
        <v>■</v>
      </c>
      <c r="T88" s="171" t="str">
        <f t="shared" si="25"/>
        <v>■</v>
      </c>
      <c r="U88" s="171" t="str">
        <f t="shared" si="25"/>
        <v>■</v>
      </c>
      <c r="V88" s="178" t="str">
        <f t="shared" si="25"/>
        <v>■</v>
      </c>
      <c r="X88" s="214"/>
      <c r="Y88" s="214"/>
      <c r="Z88" s="170"/>
      <c r="AA88" s="170"/>
      <c r="AB88" s="171"/>
      <c r="AC88" s="171"/>
      <c r="AD88" s="171"/>
      <c r="AE88" s="171"/>
      <c r="AF88" s="171"/>
      <c r="AG88" s="171"/>
      <c r="AH88" s="171"/>
      <c r="AI88" s="171"/>
      <c r="AJ88" s="171"/>
      <c r="AK88" s="171"/>
      <c r="AL88" s="171"/>
      <c r="AM88" s="171"/>
      <c r="AN88" s="171"/>
      <c r="AO88" s="171"/>
      <c r="AP88" s="171"/>
      <c r="AQ88" s="171"/>
      <c r="AR88" s="171"/>
      <c r="AS88" s="171"/>
      <c r="AT88" s="235"/>
      <c r="AU88" s="235"/>
      <c r="AV88" s="235"/>
      <c r="AW88" s="235"/>
    </row>
    <row r="89" spans="1:49" ht="22.5" customHeight="1">
      <c r="A89" s="175" t="s">
        <v>22</v>
      </c>
      <c r="B89" s="169" t="s">
        <v>98</v>
      </c>
      <c r="C89" s="170">
        <v>46143</v>
      </c>
      <c r="D89" s="170">
        <v>46264</v>
      </c>
      <c r="E89" s="171" t="str">
        <f t="shared" si="24"/>
        <v>■</v>
      </c>
      <c r="F89" s="171" t="str">
        <f t="shared" si="24"/>
        <v>■</v>
      </c>
      <c r="G89" s="171" t="str">
        <f t="shared" si="24"/>
        <v>■</v>
      </c>
      <c r="H89" s="171" t="str">
        <f t="shared" si="24"/>
        <v>■</v>
      </c>
      <c r="I89" s="171" t="str">
        <f t="shared" si="24"/>
        <v>■</v>
      </c>
      <c r="J89" s="171" t="str">
        <f t="shared" si="24"/>
        <v>■</v>
      </c>
      <c r="K89" s="171" t="str">
        <f t="shared" si="24"/>
        <v>■</v>
      </c>
      <c r="L89" s="171" t="str">
        <f t="shared" si="24"/>
        <v>■</v>
      </c>
      <c r="M89" s="171" t="str">
        <f t="shared" si="24"/>
        <v>■</v>
      </c>
      <c r="N89" s="171" t="str">
        <f t="shared" si="24"/>
        <v>■</v>
      </c>
      <c r="O89" s="171" t="str">
        <f t="shared" si="25"/>
        <v>■</v>
      </c>
      <c r="P89" s="171" t="str">
        <f t="shared" si="25"/>
        <v>■</v>
      </c>
      <c r="Q89" s="171" t="str">
        <f t="shared" si="25"/>
        <v>■</v>
      </c>
      <c r="R89" s="171" t="str">
        <f t="shared" si="25"/>
        <v>■</v>
      </c>
      <c r="S89" s="171" t="str">
        <f t="shared" si="25"/>
        <v>■</v>
      </c>
      <c r="T89" s="171" t="str">
        <f t="shared" si="25"/>
        <v>■</v>
      </c>
      <c r="U89" s="171" t="str">
        <f t="shared" si="25"/>
        <v>■</v>
      </c>
      <c r="V89" s="178" t="str">
        <f t="shared" si="25"/>
        <v>■</v>
      </c>
      <c r="X89" s="214"/>
      <c r="Y89" s="214"/>
      <c r="Z89" s="170"/>
      <c r="AA89" s="170"/>
      <c r="AB89" s="171"/>
      <c r="AC89" s="171"/>
      <c r="AD89" s="171"/>
      <c r="AE89" s="171"/>
      <c r="AF89" s="171"/>
      <c r="AG89" s="171"/>
      <c r="AH89" s="171"/>
      <c r="AI89" s="171"/>
      <c r="AJ89" s="171"/>
      <c r="AK89" s="171"/>
      <c r="AL89" s="171"/>
      <c r="AM89" s="171"/>
      <c r="AN89" s="171"/>
      <c r="AO89" s="171"/>
      <c r="AP89" s="171"/>
      <c r="AQ89" s="171"/>
      <c r="AR89" s="171"/>
      <c r="AS89" s="171"/>
      <c r="AT89" s="235"/>
      <c r="AU89" s="235"/>
      <c r="AV89" s="235"/>
      <c r="AW89" s="235"/>
    </row>
    <row r="90" spans="1:49" ht="22.5" customHeight="1">
      <c r="A90" s="175" t="s">
        <v>22</v>
      </c>
      <c r="B90" s="169" t="s">
        <v>99</v>
      </c>
      <c r="C90" s="170">
        <v>46143</v>
      </c>
      <c r="D90" s="170">
        <v>46264</v>
      </c>
      <c r="E90" s="171" t="str">
        <f t="shared" si="24"/>
        <v>■</v>
      </c>
      <c r="F90" s="171" t="str">
        <f t="shared" si="24"/>
        <v>■</v>
      </c>
      <c r="G90" s="171" t="str">
        <f t="shared" si="24"/>
        <v>■</v>
      </c>
      <c r="H90" s="171" t="str">
        <f t="shared" si="24"/>
        <v>■</v>
      </c>
      <c r="I90" s="171" t="str">
        <f t="shared" si="24"/>
        <v>■</v>
      </c>
      <c r="J90" s="171" t="str">
        <f t="shared" si="24"/>
        <v>■</v>
      </c>
      <c r="K90" s="171" t="str">
        <f t="shared" si="24"/>
        <v>■</v>
      </c>
      <c r="L90" s="171" t="str">
        <f t="shared" si="24"/>
        <v>■</v>
      </c>
      <c r="M90" s="171" t="str">
        <f t="shared" si="24"/>
        <v>■</v>
      </c>
      <c r="N90" s="171" t="str">
        <f t="shared" si="24"/>
        <v>■</v>
      </c>
      <c r="O90" s="171" t="str">
        <f t="shared" si="25"/>
        <v>■</v>
      </c>
      <c r="P90" s="171" t="str">
        <f t="shared" si="25"/>
        <v>■</v>
      </c>
      <c r="Q90" s="171" t="str">
        <f t="shared" si="25"/>
        <v>■</v>
      </c>
      <c r="R90" s="171" t="str">
        <f t="shared" si="25"/>
        <v>■</v>
      </c>
      <c r="S90" s="171" t="str">
        <f t="shared" si="25"/>
        <v>■</v>
      </c>
      <c r="T90" s="171" t="str">
        <f t="shared" si="25"/>
        <v>■</v>
      </c>
      <c r="U90" s="171" t="str">
        <f t="shared" si="25"/>
        <v>■</v>
      </c>
      <c r="V90" s="178" t="str">
        <f t="shared" si="25"/>
        <v>■</v>
      </c>
      <c r="X90" s="214"/>
      <c r="Y90" s="214"/>
      <c r="Z90" s="170"/>
      <c r="AA90" s="170"/>
      <c r="AB90" s="171"/>
      <c r="AC90" s="171"/>
      <c r="AD90" s="171"/>
      <c r="AE90" s="171"/>
      <c r="AF90" s="171"/>
      <c r="AG90" s="171"/>
      <c r="AH90" s="171"/>
      <c r="AI90" s="171"/>
      <c r="AJ90" s="171"/>
      <c r="AK90" s="171"/>
      <c r="AL90" s="171"/>
      <c r="AM90" s="171"/>
      <c r="AN90" s="171"/>
      <c r="AO90" s="171"/>
      <c r="AP90" s="171"/>
      <c r="AQ90" s="171"/>
      <c r="AR90" s="171"/>
      <c r="AS90" s="171"/>
      <c r="AT90" s="235"/>
      <c r="AU90" s="235"/>
      <c r="AV90" s="235"/>
      <c r="AW90" s="235"/>
    </row>
    <row r="91" spans="1:49" ht="22.5" customHeight="1">
      <c r="A91" s="175" t="s">
        <v>22</v>
      </c>
      <c r="B91" s="169" t="s">
        <v>100</v>
      </c>
      <c r="C91" s="170">
        <v>46204</v>
      </c>
      <c r="D91" s="170">
        <v>46264</v>
      </c>
      <c r="E91" s="171" t="str">
        <f t="shared" si="24"/>
        <v/>
      </c>
      <c r="F91" s="171" t="str">
        <f t="shared" si="24"/>
        <v/>
      </c>
      <c r="G91" s="171" t="str">
        <f t="shared" si="24"/>
        <v/>
      </c>
      <c r="H91" s="171" t="str">
        <f t="shared" si="24"/>
        <v/>
      </c>
      <c r="I91" s="171" t="str">
        <f t="shared" si="24"/>
        <v/>
      </c>
      <c r="J91" s="171" t="str">
        <f t="shared" si="24"/>
        <v/>
      </c>
      <c r="K91" s="171" t="str">
        <f t="shared" si="24"/>
        <v/>
      </c>
      <c r="L91" s="171" t="str">
        <f t="shared" si="24"/>
        <v/>
      </c>
      <c r="M91" s="171" t="str">
        <f t="shared" si="24"/>
        <v/>
      </c>
      <c r="N91" s="171" t="str">
        <f t="shared" si="24"/>
        <v>■</v>
      </c>
      <c r="O91" s="171" t="str">
        <f t="shared" si="25"/>
        <v>■</v>
      </c>
      <c r="P91" s="171" t="str">
        <f t="shared" si="25"/>
        <v>■</v>
      </c>
      <c r="Q91" s="171" t="str">
        <f t="shared" si="25"/>
        <v>■</v>
      </c>
      <c r="R91" s="171" t="str">
        <f t="shared" si="25"/>
        <v>■</v>
      </c>
      <c r="S91" s="171" t="str">
        <f t="shared" si="25"/>
        <v>■</v>
      </c>
      <c r="T91" s="171" t="str">
        <f t="shared" si="25"/>
        <v>■</v>
      </c>
      <c r="U91" s="171" t="str">
        <f t="shared" si="25"/>
        <v>■</v>
      </c>
      <c r="V91" s="178" t="str">
        <f t="shared" si="25"/>
        <v>■</v>
      </c>
      <c r="X91" s="214"/>
      <c r="Y91" s="214"/>
      <c r="Z91" s="170"/>
      <c r="AA91" s="170"/>
      <c r="AB91" s="171"/>
      <c r="AC91" s="171"/>
      <c r="AD91" s="171"/>
      <c r="AE91" s="171"/>
      <c r="AF91" s="171"/>
      <c r="AG91" s="171"/>
      <c r="AH91" s="171"/>
      <c r="AI91" s="171"/>
      <c r="AJ91" s="171"/>
      <c r="AK91" s="171"/>
      <c r="AL91" s="171"/>
      <c r="AM91" s="171"/>
      <c r="AN91" s="171"/>
      <c r="AO91" s="171"/>
      <c r="AP91" s="171"/>
      <c r="AQ91" s="171"/>
      <c r="AR91" s="171"/>
      <c r="AS91" s="171"/>
      <c r="AT91" s="235"/>
      <c r="AU91" s="235"/>
      <c r="AV91" s="235"/>
      <c r="AW91" s="235"/>
    </row>
    <row r="92" spans="1:49" ht="22.5" customHeight="1">
      <c r="A92" s="175" t="s">
        <v>28</v>
      </c>
      <c r="B92" s="169" t="s">
        <v>97</v>
      </c>
      <c r="C92" s="170">
        <v>46143</v>
      </c>
      <c r="D92" s="170">
        <v>46264</v>
      </c>
      <c r="E92" s="200" t="str">
        <f t="shared" si="24"/>
        <v>■</v>
      </c>
      <c r="F92" s="200" t="str">
        <f t="shared" si="24"/>
        <v>■</v>
      </c>
      <c r="G92" s="200" t="str">
        <f t="shared" si="24"/>
        <v>■</v>
      </c>
      <c r="H92" s="200" t="str">
        <f t="shared" si="24"/>
        <v>■</v>
      </c>
      <c r="I92" s="200" t="str">
        <f t="shared" si="24"/>
        <v>■</v>
      </c>
      <c r="J92" s="200" t="str">
        <f t="shared" si="24"/>
        <v>■</v>
      </c>
      <c r="K92" s="200" t="str">
        <f t="shared" si="24"/>
        <v>■</v>
      </c>
      <c r="L92" s="200" t="str">
        <f t="shared" si="24"/>
        <v>■</v>
      </c>
      <c r="M92" s="200" t="str">
        <f t="shared" si="24"/>
        <v>■</v>
      </c>
      <c r="N92" s="200" t="str">
        <f t="shared" si="24"/>
        <v>■</v>
      </c>
      <c r="O92" s="200" t="str">
        <f t="shared" si="25"/>
        <v>■</v>
      </c>
      <c r="P92" s="200" t="str">
        <f t="shared" si="25"/>
        <v>■</v>
      </c>
      <c r="Q92" s="200" t="str">
        <f t="shared" si="25"/>
        <v>■</v>
      </c>
      <c r="R92" s="200" t="str">
        <f t="shared" si="25"/>
        <v>■</v>
      </c>
      <c r="S92" s="200" t="str">
        <f t="shared" si="25"/>
        <v>■</v>
      </c>
      <c r="T92" s="200" t="str">
        <f t="shared" si="25"/>
        <v>■</v>
      </c>
      <c r="U92" s="200" t="str">
        <f t="shared" si="25"/>
        <v>■</v>
      </c>
      <c r="V92" s="179" t="str">
        <f t="shared" si="25"/>
        <v>■</v>
      </c>
      <c r="X92" s="214"/>
      <c r="Y92" s="214"/>
      <c r="Z92" s="170"/>
      <c r="AA92" s="170"/>
      <c r="AB92" s="171"/>
      <c r="AC92" s="171"/>
      <c r="AD92" s="171"/>
      <c r="AE92" s="171"/>
      <c r="AF92" s="171"/>
      <c r="AG92" s="171"/>
      <c r="AH92" s="171"/>
      <c r="AI92" s="171"/>
      <c r="AJ92" s="171"/>
      <c r="AK92" s="171"/>
      <c r="AL92" s="171"/>
      <c r="AM92" s="171"/>
      <c r="AN92" s="171"/>
      <c r="AO92" s="171"/>
      <c r="AP92" s="171"/>
      <c r="AQ92" s="171"/>
      <c r="AR92" s="171"/>
      <c r="AS92" s="171"/>
      <c r="AT92" s="235"/>
      <c r="AU92" s="235"/>
      <c r="AV92" s="235"/>
      <c r="AW92" s="235"/>
    </row>
    <row r="93" spans="1:49" ht="22.5" customHeight="1">
      <c r="A93" s="175" t="s">
        <v>28</v>
      </c>
      <c r="B93" s="169" t="s">
        <v>98</v>
      </c>
      <c r="C93" s="170">
        <v>46204</v>
      </c>
      <c r="D93" s="170">
        <v>46264</v>
      </c>
      <c r="E93" s="200" t="str">
        <f t="shared" si="24"/>
        <v/>
      </c>
      <c r="F93" s="200" t="str">
        <f t="shared" si="24"/>
        <v/>
      </c>
      <c r="G93" s="200" t="str">
        <f t="shared" si="24"/>
        <v/>
      </c>
      <c r="H93" s="200" t="str">
        <f t="shared" si="24"/>
        <v/>
      </c>
      <c r="I93" s="200" t="str">
        <f t="shared" si="24"/>
        <v/>
      </c>
      <c r="J93" s="200" t="str">
        <f t="shared" si="24"/>
        <v/>
      </c>
      <c r="K93" s="200" t="str">
        <f t="shared" si="24"/>
        <v/>
      </c>
      <c r="L93" s="200" t="str">
        <f t="shared" si="24"/>
        <v/>
      </c>
      <c r="M93" s="200" t="str">
        <f t="shared" si="24"/>
        <v/>
      </c>
      <c r="N93" s="200" t="str">
        <f t="shared" si="24"/>
        <v>■</v>
      </c>
      <c r="O93" s="200" t="str">
        <f t="shared" si="25"/>
        <v>■</v>
      </c>
      <c r="P93" s="200" t="str">
        <f t="shared" si="25"/>
        <v>■</v>
      </c>
      <c r="Q93" s="200" t="str">
        <f t="shared" si="25"/>
        <v>■</v>
      </c>
      <c r="R93" s="200" t="str">
        <f t="shared" si="25"/>
        <v>■</v>
      </c>
      <c r="S93" s="200" t="str">
        <f t="shared" si="25"/>
        <v>■</v>
      </c>
      <c r="T93" s="200" t="str">
        <f t="shared" si="25"/>
        <v>■</v>
      </c>
      <c r="U93" s="200" t="str">
        <f t="shared" si="25"/>
        <v>■</v>
      </c>
      <c r="V93" s="179" t="str">
        <f t="shared" si="25"/>
        <v>■</v>
      </c>
      <c r="X93" s="214"/>
      <c r="Y93" s="214"/>
      <c r="Z93" s="170"/>
      <c r="AA93" s="170"/>
      <c r="AB93" s="171"/>
      <c r="AC93" s="171"/>
      <c r="AD93" s="171"/>
      <c r="AE93" s="171"/>
      <c r="AF93" s="171"/>
      <c r="AG93" s="171"/>
      <c r="AH93" s="171"/>
      <c r="AI93" s="171"/>
      <c r="AJ93" s="171"/>
      <c r="AK93" s="171"/>
      <c r="AL93" s="171"/>
      <c r="AM93" s="171"/>
      <c r="AN93" s="171"/>
      <c r="AO93" s="171"/>
      <c r="AP93" s="171"/>
      <c r="AQ93" s="171"/>
      <c r="AR93" s="171"/>
      <c r="AS93" s="171"/>
      <c r="AT93" s="235"/>
      <c r="AU93" s="235"/>
      <c r="AV93" s="235"/>
      <c r="AW93" s="235"/>
    </row>
    <row r="94" spans="1:49" ht="22.5" customHeight="1">
      <c r="A94" s="175" t="s">
        <v>28</v>
      </c>
      <c r="B94" s="169" t="s">
        <v>99</v>
      </c>
      <c r="C94" s="170">
        <v>46204</v>
      </c>
      <c r="D94" s="170">
        <v>46264</v>
      </c>
      <c r="E94" s="200" t="str">
        <f t="shared" si="24"/>
        <v/>
      </c>
      <c r="F94" s="200" t="str">
        <f t="shared" si="24"/>
        <v/>
      </c>
      <c r="G94" s="200" t="str">
        <f t="shared" si="24"/>
        <v/>
      </c>
      <c r="H94" s="200" t="str">
        <f t="shared" si="24"/>
        <v/>
      </c>
      <c r="I94" s="200" t="str">
        <f t="shared" si="24"/>
        <v/>
      </c>
      <c r="J94" s="200" t="str">
        <f t="shared" si="24"/>
        <v/>
      </c>
      <c r="K94" s="200" t="str">
        <f t="shared" si="24"/>
        <v/>
      </c>
      <c r="L94" s="200" t="str">
        <f t="shared" si="24"/>
        <v/>
      </c>
      <c r="M94" s="200" t="str">
        <f t="shared" si="24"/>
        <v/>
      </c>
      <c r="N94" s="200" t="str">
        <f t="shared" si="24"/>
        <v>■</v>
      </c>
      <c r="O94" s="200" t="str">
        <f t="shared" si="25"/>
        <v>■</v>
      </c>
      <c r="P94" s="200" t="str">
        <f t="shared" si="25"/>
        <v>■</v>
      </c>
      <c r="Q94" s="200" t="str">
        <f t="shared" si="25"/>
        <v>■</v>
      </c>
      <c r="R94" s="200" t="str">
        <f t="shared" si="25"/>
        <v>■</v>
      </c>
      <c r="S94" s="200" t="str">
        <f t="shared" si="25"/>
        <v>■</v>
      </c>
      <c r="T94" s="200" t="str">
        <f t="shared" si="25"/>
        <v>■</v>
      </c>
      <c r="U94" s="200" t="str">
        <f t="shared" si="25"/>
        <v>■</v>
      </c>
      <c r="V94" s="179" t="str">
        <f t="shared" si="25"/>
        <v>■</v>
      </c>
      <c r="X94" s="214"/>
      <c r="Y94" s="214"/>
      <c r="Z94" s="170"/>
      <c r="AA94" s="170"/>
      <c r="AB94" s="171"/>
      <c r="AC94" s="171"/>
      <c r="AD94" s="171"/>
      <c r="AE94" s="171"/>
      <c r="AF94" s="171"/>
      <c r="AG94" s="171"/>
      <c r="AH94" s="171"/>
      <c r="AI94" s="171"/>
      <c r="AJ94" s="171"/>
      <c r="AK94" s="171"/>
      <c r="AL94" s="171"/>
      <c r="AM94" s="171"/>
      <c r="AN94" s="171"/>
      <c r="AO94" s="171"/>
      <c r="AP94" s="171"/>
      <c r="AQ94" s="171"/>
      <c r="AR94" s="171"/>
      <c r="AS94" s="171"/>
      <c r="AT94" s="235"/>
      <c r="AU94" s="235"/>
      <c r="AV94" s="235"/>
      <c r="AW94" s="235"/>
    </row>
    <row r="95" spans="1:49" ht="22.5" customHeight="1">
      <c r="A95" s="176" t="s">
        <v>28</v>
      </c>
      <c r="B95" s="172" t="s">
        <v>100</v>
      </c>
      <c r="C95" s="173">
        <v>46204</v>
      </c>
      <c r="D95" s="173">
        <v>46264</v>
      </c>
      <c r="E95" s="174" t="str">
        <f t="shared" si="24"/>
        <v/>
      </c>
      <c r="F95" s="174" t="str">
        <f t="shared" si="24"/>
        <v/>
      </c>
      <c r="G95" s="174" t="str">
        <f t="shared" si="24"/>
        <v/>
      </c>
      <c r="H95" s="174" t="str">
        <f t="shared" si="24"/>
        <v/>
      </c>
      <c r="I95" s="174" t="str">
        <f t="shared" si="24"/>
        <v/>
      </c>
      <c r="J95" s="174" t="str">
        <f t="shared" si="24"/>
        <v/>
      </c>
      <c r="K95" s="174" t="str">
        <f t="shared" si="24"/>
        <v/>
      </c>
      <c r="L95" s="174" t="str">
        <f t="shared" si="24"/>
        <v/>
      </c>
      <c r="M95" s="174" t="str">
        <f t="shared" si="24"/>
        <v/>
      </c>
      <c r="N95" s="174" t="str">
        <f t="shared" si="24"/>
        <v>■</v>
      </c>
      <c r="O95" s="174" t="str">
        <f t="shared" si="25"/>
        <v>■</v>
      </c>
      <c r="P95" s="174" t="str">
        <f t="shared" si="25"/>
        <v>■</v>
      </c>
      <c r="Q95" s="174" t="str">
        <f t="shared" si="25"/>
        <v>■</v>
      </c>
      <c r="R95" s="174" t="str">
        <f t="shared" si="25"/>
        <v>■</v>
      </c>
      <c r="S95" s="174" t="str">
        <f t="shared" si="25"/>
        <v>■</v>
      </c>
      <c r="T95" s="174" t="str">
        <f t="shared" si="25"/>
        <v>■</v>
      </c>
      <c r="U95" s="174" t="str">
        <f t="shared" si="25"/>
        <v>■</v>
      </c>
      <c r="V95" s="180" t="str">
        <f t="shared" si="25"/>
        <v>■</v>
      </c>
      <c r="X95" s="214"/>
      <c r="Y95" s="214"/>
      <c r="Z95" s="170"/>
      <c r="AA95" s="170"/>
      <c r="AB95" s="171"/>
      <c r="AC95" s="171"/>
      <c r="AD95" s="171"/>
      <c r="AE95" s="171"/>
      <c r="AF95" s="171"/>
      <c r="AG95" s="171"/>
      <c r="AH95" s="171"/>
      <c r="AI95" s="171"/>
      <c r="AJ95" s="171"/>
      <c r="AK95" s="171"/>
      <c r="AL95" s="171"/>
      <c r="AM95" s="171"/>
      <c r="AN95" s="171"/>
      <c r="AO95" s="171"/>
      <c r="AP95" s="171"/>
      <c r="AQ95" s="171"/>
      <c r="AR95" s="171"/>
      <c r="AS95" s="171"/>
      <c r="AT95" s="235"/>
      <c r="AU95" s="235"/>
      <c r="AV95" s="235"/>
      <c r="AW95" s="235"/>
    </row>
    <row r="96" spans="1:49" s="208" customFormat="1" ht="22.5" customHeight="1">
      <c r="A96" s="292" t="s">
        <v>219</v>
      </c>
      <c r="B96" s="292"/>
      <c r="C96" s="292"/>
      <c r="D96" s="292"/>
      <c r="E96" s="292"/>
      <c r="F96" s="292"/>
      <c r="G96" s="292"/>
      <c r="H96" s="292"/>
      <c r="I96" s="292"/>
      <c r="J96" s="292"/>
      <c r="K96" s="292"/>
      <c r="L96" s="292"/>
      <c r="M96" s="292"/>
      <c r="N96" s="292"/>
      <c r="O96" s="292"/>
      <c r="P96" s="292"/>
      <c r="Q96" s="292"/>
      <c r="R96" s="292"/>
      <c r="S96" s="292"/>
      <c r="T96" s="292"/>
      <c r="U96" s="292"/>
      <c r="V96" s="292"/>
      <c r="W96" s="210"/>
      <c r="X96" s="294" t="s">
        <v>220</v>
      </c>
      <c r="Y96" s="294"/>
      <c r="Z96" s="294"/>
      <c r="AA96" s="294"/>
      <c r="AB96" s="294"/>
      <c r="AC96" s="294"/>
      <c r="AD96" s="294"/>
      <c r="AE96" s="294"/>
      <c r="AF96" s="294"/>
      <c r="AG96" s="294"/>
      <c r="AH96" s="294"/>
      <c r="AI96" s="294"/>
      <c r="AJ96" s="294"/>
      <c r="AK96" s="294"/>
      <c r="AL96" s="294"/>
      <c r="AM96" s="294"/>
      <c r="AN96" s="294"/>
      <c r="AO96" s="294"/>
      <c r="AP96" s="294"/>
      <c r="AQ96" s="294"/>
      <c r="AR96" s="294"/>
      <c r="AS96" s="294"/>
      <c r="AT96" s="237" t="str" cm="1">
        <f t="array" ref="AT96">_xlfn.LET(_xlpm.mL,A96,_xlpm.aL,B96,_xlpm.mR,X96,_xlpm.aR,Y96,_xlpm.useR,AND(_xlpm.mR&lt;&gt;"",_xlpm.mR&lt;&gt;"Model",LEFT(_xlpm.mR,6)&lt;&gt;"Markt:"),_xlpm.m,IF(_xlpm.useR,_xlpm.mR,_xlpm.mL),_xlpm.a,IF(_xlpm.useR,_xlpm.aR,_xlpm.aL),_xlpm.rng,IF(_xlpm.useR,X$1:X96,A$1:A96),IF(OR(_xlpm.m="",_xlpm.m="Model",LEFT(_xlpm.m,6)="Markt:"),"",_xlfn.LET(_xlpm.mkt,LOOKUP(2,1/(LEFT(_xlpm.rng,6)="Markt:"),_xlpm.rng),_xlpm.mktNameRaw,TRIM(MID(_xlpm.mkt,FIND(":",_xlpm.mkt)+1,99)),_xlpm.mktName,TRIM(SUBSTITUTE(_xlpm.mktNameRaw,"(Survey)","")),_xlfn.XLOOKUP(_xlpm.mktName&amp;"|"&amp;SUBSTITUTE(_xlpm.m," ","")&amp;"|"&amp;_xlpm.a,tblMassnahmen[Key],tblMassnahmen[Kanal],""))))</f>
        <v/>
      </c>
      <c r="AU96" s="237" t="str" cm="1">
        <f t="array" ref="AU96">_xlfn.LET(_xlpm.mL,A96,_xlpm.aL,B96,_xlpm.mR,X96,_xlpm.aR,Y96,_xlpm.useR,AND(_xlpm.mR&lt;&gt;"",_xlpm.mR&lt;&gt;"Model",LEFT(_xlpm.mR,6)&lt;&gt;"Markt:"),_xlpm.m,IF(_xlpm.useR,_xlpm.mR,_xlpm.mL),_xlpm.a,IF(_xlpm.useR,_xlpm.aR,_xlpm.aL),_xlpm.rng,IF(_xlpm.useR,X$1:X96,A$1:A96),IF(OR(_xlpm.m="",_xlpm.m="Model",LEFT(_xlpm.m,6)="Markt:"),"",_xlfn.LET(_xlpm.mkt,LOOKUP(2,1/(LEFT(_xlpm.rng,6)="Markt:"),_xlpm.rng),_xlpm.mktNameRaw,TRIM(MID(_xlpm.mkt,FIND(":",_xlpm.mkt)+1,99)),_xlpm.mktName,TRIM(SUBSTITUTE(_xlpm.mktNameRaw,"(Survey)","")),_xlfn.XLOOKUP(_xlpm.mktName&amp;"|"&amp;SUBSTITUTE(_xlpm.m," ","")&amp;"|"&amp;_xlpm.a,tblMassnahmen[Key],tblMassnahmen[Budget],""))))</f>
        <v/>
      </c>
      <c r="AV96" s="237" t="str" cm="1">
        <f t="array" ref="AV96">_xlfn.LET(_xlpm.mL,A96,_xlpm.aL,B96,_xlpm.mR,X96,_xlpm.aR,Y96,_xlpm.useR,AND(_xlpm.mR&lt;&gt;"",_xlpm.mR&lt;&gt;"Model",LEFT(_xlpm.mR,6)&lt;&gt;"Markt:"),_xlpm.m,IF(_xlpm.useR,_xlpm.mR,_xlpm.mL),_xlpm.a,IF(_xlpm.useR,_xlpm.aR,_xlpm.aL),_xlpm.rng,IF(_xlpm.useR,X$1:X96,A$1:A96),IF(OR(_xlpm.m="",_xlpm.m="Model",LEFT(_xlpm.m,6)="Markt:"),"",_xlfn.LET(_xlpm.mkt,LOOKUP(2,1/(LEFT(_xlpm.rng,6)="Markt:"),_xlpm.rng),_xlpm.mktNameRaw,TRIM(MID(_xlpm.mkt,FIND(":",_xlpm.mkt)+1,99)),_xlpm.mktName,TRIM(SUBSTITUTE(_xlpm.mktNameRaw,"(Survey)","")),_xlfn.XLOOKUP(_xlpm.mktName&amp;"|"&amp;SUBSTITUTE(_xlpm.m," ","")&amp;"|"&amp;_xlpm.a,tblMassnahmen[Key],tblMassnahmen[KPI],""))))</f>
        <v/>
      </c>
      <c r="AW96" s="198"/>
    </row>
    <row r="97" spans="1:49" s="208" customFormat="1" ht="22.5" customHeight="1">
      <c r="A97" s="186" t="s">
        <v>105</v>
      </c>
      <c r="B97" s="187" t="s">
        <v>106</v>
      </c>
      <c r="C97" s="181" t="s">
        <v>95</v>
      </c>
      <c r="D97" s="181" t="s">
        <v>96</v>
      </c>
      <c r="E97" s="184" t="s">
        <v>107</v>
      </c>
      <c r="F97" s="184" t="s">
        <v>108</v>
      </c>
      <c r="G97" s="184" t="s">
        <v>109</v>
      </c>
      <c r="H97" s="184" t="s">
        <v>110</v>
      </c>
      <c r="I97" s="184" t="s">
        <v>111</v>
      </c>
      <c r="J97" s="184" t="s">
        <v>112</v>
      </c>
      <c r="K97" s="184" t="s">
        <v>113</v>
      </c>
      <c r="L97" s="184" t="s">
        <v>114</v>
      </c>
      <c r="M97" s="184" t="s">
        <v>115</v>
      </c>
      <c r="N97" s="184" t="s">
        <v>116</v>
      </c>
      <c r="O97" s="184" t="s">
        <v>117</v>
      </c>
      <c r="P97" s="184" t="s">
        <v>118</v>
      </c>
      <c r="Q97" s="184" t="s">
        <v>119</v>
      </c>
      <c r="R97" s="184" t="s">
        <v>120</v>
      </c>
      <c r="S97" s="184" t="s">
        <v>121</v>
      </c>
      <c r="T97" s="184" t="s">
        <v>122</v>
      </c>
      <c r="U97" s="184" t="s">
        <v>123</v>
      </c>
      <c r="V97" s="185" t="s">
        <v>124</v>
      </c>
      <c r="W97" s="210"/>
      <c r="X97" s="219" t="s">
        <v>105</v>
      </c>
      <c r="Y97" s="220" t="s">
        <v>125</v>
      </c>
      <c r="Z97" s="184" t="s">
        <v>95</v>
      </c>
      <c r="AA97" s="184" t="s">
        <v>96</v>
      </c>
      <c r="AB97" s="184" t="s">
        <v>107</v>
      </c>
      <c r="AC97" s="184" t="s">
        <v>108</v>
      </c>
      <c r="AD97" s="184" t="s">
        <v>109</v>
      </c>
      <c r="AE97" s="184" t="s">
        <v>110</v>
      </c>
      <c r="AF97" s="184" t="s">
        <v>111</v>
      </c>
      <c r="AG97" s="184" t="s">
        <v>112</v>
      </c>
      <c r="AH97" s="184" t="s">
        <v>113</v>
      </c>
      <c r="AI97" s="184" t="s">
        <v>114</v>
      </c>
      <c r="AJ97" s="184" t="s">
        <v>115</v>
      </c>
      <c r="AK97" s="184" t="s">
        <v>116</v>
      </c>
      <c r="AL97" s="184" t="s">
        <v>117</v>
      </c>
      <c r="AM97" s="184" t="s">
        <v>118</v>
      </c>
      <c r="AN97" s="184" t="s">
        <v>119</v>
      </c>
      <c r="AO97" s="184" t="s">
        <v>120</v>
      </c>
      <c r="AP97" s="184" t="s">
        <v>121</v>
      </c>
      <c r="AQ97" s="184" t="s">
        <v>122</v>
      </c>
      <c r="AR97" s="184" t="s">
        <v>123</v>
      </c>
      <c r="AS97" s="185" t="s">
        <v>124</v>
      </c>
      <c r="AT97" s="202" t="s">
        <v>126</v>
      </c>
      <c r="AU97" s="201" t="s">
        <v>127</v>
      </c>
      <c r="AV97" s="201" t="s">
        <v>128</v>
      </c>
      <c r="AW97" s="203" t="s">
        <v>129</v>
      </c>
    </row>
    <row r="98" spans="1:49" ht="22.5" customHeight="1">
      <c r="A98" s="175" t="s">
        <v>20</v>
      </c>
      <c r="B98" s="169" t="s">
        <v>97</v>
      </c>
      <c r="C98" s="170">
        <v>46143</v>
      </c>
      <c r="D98" s="170">
        <v>46264</v>
      </c>
      <c r="E98" s="199" t="str">
        <f t="shared" ref="E98:N105" si="28">IFERROR(IF(OR($A98="",$A98="Model",LEFT($A98,5)="Markt"),"",IF(AND($C98&lt;=E$3+6,$D98&gt;=E$3),"■","")),"")</f>
        <v>■</v>
      </c>
      <c r="F98" s="199" t="str">
        <f t="shared" si="28"/>
        <v>■</v>
      </c>
      <c r="G98" s="199" t="str">
        <f t="shared" si="28"/>
        <v>■</v>
      </c>
      <c r="H98" s="199" t="str">
        <f t="shared" si="28"/>
        <v>■</v>
      </c>
      <c r="I98" s="199" t="str">
        <f t="shared" si="28"/>
        <v>■</v>
      </c>
      <c r="J98" s="199" t="str">
        <f t="shared" si="28"/>
        <v>■</v>
      </c>
      <c r="K98" s="199" t="str">
        <f t="shared" si="28"/>
        <v>■</v>
      </c>
      <c r="L98" s="199" t="str">
        <f t="shared" si="28"/>
        <v>■</v>
      </c>
      <c r="M98" s="199" t="str">
        <f t="shared" si="28"/>
        <v>■</v>
      </c>
      <c r="N98" s="199" t="str">
        <f t="shared" si="28"/>
        <v>■</v>
      </c>
      <c r="O98" s="199" t="str">
        <f t="shared" ref="O98:V105" si="29">IFERROR(IF(OR($A98="",$A98="Model",LEFT($A98,5)="Markt"),"",IF(AND($C98&lt;=O$3+6,$D98&gt;=O$3),"■","")),"")</f>
        <v>■</v>
      </c>
      <c r="P98" s="199" t="str">
        <f t="shared" si="29"/>
        <v>■</v>
      </c>
      <c r="Q98" s="199" t="str">
        <f t="shared" si="29"/>
        <v>■</v>
      </c>
      <c r="R98" s="199" t="str">
        <f t="shared" si="29"/>
        <v>■</v>
      </c>
      <c r="S98" s="199" t="str">
        <f t="shared" si="29"/>
        <v>■</v>
      </c>
      <c r="T98" s="199" t="str">
        <f t="shared" si="29"/>
        <v>■</v>
      </c>
      <c r="U98" s="199" t="str">
        <f t="shared" si="29"/>
        <v>■</v>
      </c>
      <c r="V98" s="177" t="str">
        <f t="shared" si="29"/>
        <v>■</v>
      </c>
      <c r="W98"/>
      <c r="X98" s="211" t="s">
        <v>133</v>
      </c>
      <c r="Y98" s="214" t="s">
        <v>221</v>
      </c>
      <c r="Z98" s="215">
        <v>46022</v>
      </c>
      <c r="AA98" s="215">
        <v>46386</v>
      </c>
      <c r="AB98" s="199" t="str">
        <f t="shared" ref="AB98:AK105" si="30">IF(AND($Z98&lt;=(AB$3+6),$AA98&gt;=AB$3),"■","")</f>
        <v>■</v>
      </c>
      <c r="AC98" s="199" t="str">
        <f t="shared" si="30"/>
        <v>■</v>
      </c>
      <c r="AD98" s="199" t="str">
        <f t="shared" si="30"/>
        <v>■</v>
      </c>
      <c r="AE98" s="199" t="str">
        <f t="shared" si="30"/>
        <v>■</v>
      </c>
      <c r="AF98" s="199" t="str">
        <f t="shared" si="30"/>
        <v>■</v>
      </c>
      <c r="AG98" s="199" t="str">
        <f t="shared" si="30"/>
        <v>■</v>
      </c>
      <c r="AH98" s="199" t="str">
        <f t="shared" si="30"/>
        <v>■</v>
      </c>
      <c r="AI98" s="199" t="str">
        <f t="shared" si="30"/>
        <v>■</v>
      </c>
      <c r="AJ98" s="199" t="str">
        <f t="shared" si="30"/>
        <v>■</v>
      </c>
      <c r="AK98" s="199" t="str">
        <f t="shared" si="30"/>
        <v>■</v>
      </c>
      <c r="AL98" s="199" t="str">
        <f t="shared" ref="AL98:AS105" si="31">IF(AND($Z98&lt;=(AL$3+6),$AA98&gt;=AL$3),"■","")</f>
        <v>■</v>
      </c>
      <c r="AM98" s="199" t="str">
        <f t="shared" si="31"/>
        <v>■</v>
      </c>
      <c r="AN98" s="199" t="str">
        <f t="shared" si="31"/>
        <v>■</v>
      </c>
      <c r="AO98" s="199" t="str">
        <f t="shared" si="31"/>
        <v>■</v>
      </c>
      <c r="AP98" s="199" t="str">
        <f t="shared" si="31"/>
        <v>■</v>
      </c>
      <c r="AQ98" s="199" t="str">
        <f t="shared" si="31"/>
        <v>■</v>
      </c>
      <c r="AR98" s="199" t="str">
        <f t="shared" si="31"/>
        <v>■</v>
      </c>
      <c r="AS98" s="177" t="str">
        <f t="shared" si="31"/>
        <v>■</v>
      </c>
      <c r="AT98" s="204" t="s">
        <v>49</v>
      </c>
      <c r="AU98" s="235" t="s">
        <v>222</v>
      </c>
      <c r="AV98" s="235" t="s">
        <v>183</v>
      </c>
      <c r="AW98" s="205" t="s">
        <v>223</v>
      </c>
    </row>
    <row r="99" spans="1:49" ht="22.5" customHeight="1">
      <c r="A99" s="175" t="s">
        <v>20</v>
      </c>
      <c r="B99" s="169" t="s">
        <v>98</v>
      </c>
      <c r="C99" s="170">
        <v>46143</v>
      </c>
      <c r="D99" s="170">
        <v>46264</v>
      </c>
      <c r="E99" s="199" t="str">
        <f t="shared" si="28"/>
        <v>■</v>
      </c>
      <c r="F99" s="199" t="str">
        <f t="shared" si="28"/>
        <v>■</v>
      </c>
      <c r="G99" s="199" t="str">
        <f t="shared" si="28"/>
        <v>■</v>
      </c>
      <c r="H99" s="199" t="str">
        <f t="shared" si="28"/>
        <v>■</v>
      </c>
      <c r="I99" s="199" t="str">
        <f t="shared" si="28"/>
        <v>■</v>
      </c>
      <c r="J99" s="199" t="str">
        <f t="shared" si="28"/>
        <v>■</v>
      </c>
      <c r="K99" s="199" t="str">
        <f t="shared" si="28"/>
        <v>■</v>
      </c>
      <c r="L99" s="199" t="str">
        <f t="shared" si="28"/>
        <v>■</v>
      </c>
      <c r="M99" s="199" t="str">
        <f t="shared" si="28"/>
        <v>■</v>
      </c>
      <c r="N99" s="199" t="str">
        <f t="shared" si="28"/>
        <v>■</v>
      </c>
      <c r="O99" s="199" t="str">
        <f t="shared" si="29"/>
        <v>■</v>
      </c>
      <c r="P99" s="199" t="str">
        <f t="shared" si="29"/>
        <v>■</v>
      </c>
      <c r="Q99" s="199" t="str">
        <f t="shared" si="29"/>
        <v>■</v>
      </c>
      <c r="R99" s="199" t="str">
        <f t="shared" si="29"/>
        <v>■</v>
      </c>
      <c r="S99" s="199" t="str">
        <f t="shared" si="29"/>
        <v>■</v>
      </c>
      <c r="T99" s="199" t="str">
        <f t="shared" si="29"/>
        <v>■</v>
      </c>
      <c r="U99" s="199" t="str">
        <f t="shared" si="29"/>
        <v>■</v>
      </c>
      <c r="V99" s="177" t="str">
        <f t="shared" si="29"/>
        <v>■</v>
      </c>
      <c r="W99"/>
      <c r="X99" s="211" t="s">
        <v>133</v>
      </c>
      <c r="Y99" s="214" t="s">
        <v>224</v>
      </c>
      <c r="Z99" s="215">
        <v>46064</v>
      </c>
      <c r="AA99" s="215">
        <v>46151</v>
      </c>
      <c r="AB99" s="199" t="str">
        <f t="shared" si="30"/>
        <v>■</v>
      </c>
      <c r="AC99" s="199" t="str">
        <f t="shared" si="30"/>
        <v>■</v>
      </c>
      <c r="AD99" s="199" t="str">
        <f t="shared" si="30"/>
        <v/>
      </c>
      <c r="AE99" s="199" t="str">
        <f t="shared" si="30"/>
        <v/>
      </c>
      <c r="AF99" s="199" t="str">
        <f t="shared" si="30"/>
        <v/>
      </c>
      <c r="AG99" s="199" t="str">
        <f t="shared" si="30"/>
        <v/>
      </c>
      <c r="AH99" s="199" t="str">
        <f t="shared" si="30"/>
        <v/>
      </c>
      <c r="AI99" s="199" t="str">
        <f t="shared" si="30"/>
        <v/>
      </c>
      <c r="AJ99" s="199" t="str">
        <f t="shared" si="30"/>
        <v/>
      </c>
      <c r="AK99" s="199" t="str">
        <f t="shared" si="30"/>
        <v/>
      </c>
      <c r="AL99" s="199" t="str">
        <f t="shared" si="31"/>
        <v/>
      </c>
      <c r="AM99" s="199" t="str">
        <f t="shared" si="31"/>
        <v/>
      </c>
      <c r="AN99" s="199" t="str">
        <f t="shared" si="31"/>
        <v/>
      </c>
      <c r="AO99" s="199" t="str">
        <f t="shared" si="31"/>
        <v/>
      </c>
      <c r="AP99" s="199" t="str">
        <f t="shared" si="31"/>
        <v/>
      </c>
      <c r="AQ99" s="199" t="str">
        <f t="shared" si="31"/>
        <v/>
      </c>
      <c r="AR99" s="199" t="str">
        <f t="shared" si="31"/>
        <v/>
      </c>
      <c r="AS99" s="177" t="str">
        <f t="shared" si="31"/>
        <v/>
      </c>
      <c r="AT99" s="204" t="s">
        <v>225</v>
      </c>
      <c r="AU99" s="235" t="s">
        <v>226</v>
      </c>
      <c r="AV99" s="235" t="s">
        <v>227</v>
      </c>
      <c r="AW99" s="205" t="s">
        <v>223</v>
      </c>
    </row>
    <row r="100" spans="1:49" ht="22.5" customHeight="1">
      <c r="A100" s="175" t="s">
        <v>20</v>
      </c>
      <c r="B100" s="169" t="s">
        <v>99</v>
      </c>
      <c r="C100" s="170">
        <v>46143</v>
      </c>
      <c r="D100" s="170">
        <v>46264</v>
      </c>
      <c r="E100" s="199" t="str">
        <f t="shared" si="28"/>
        <v>■</v>
      </c>
      <c r="F100" s="199" t="str">
        <f t="shared" si="28"/>
        <v>■</v>
      </c>
      <c r="G100" s="199" t="str">
        <f t="shared" si="28"/>
        <v>■</v>
      </c>
      <c r="H100" s="199" t="str">
        <f t="shared" si="28"/>
        <v>■</v>
      </c>
      <c r="I100" s="199" t="str">
        <f t="shared" si="28"/>
        <v>■</v>
      </c>
      <c r="J100" s="199" t="str">
        <f t="shared" si="28"/>
        <v>■</v>
      </c>
      <c r="K100" s="199" t="str">
        <f t="shared" si="28"/>
        <v>■</v>
      </c>
      <c r="L100" s="199" t="str">
        <f t="shared" si="28"/>
        <v>■</v>
      </c>
      <c r="M100" s="199" t="str">
        <f t="shared" si="28"/>
        <v>■</v>
      </c>
      <c r="N100" s="199" t="str">
        <f t="shared" si="28"/>
        <v>■</v>
      </c>
      <c r="O100" s="199" t="str">
        <f t="shared" si="29"/>
        <v>■</v>
      </c>
      <c r="P100" s="199" t="str">
        <f t="shared" si="29"/>
        <v>■</v>
      </c>
      <c r="Q100" s="199" t="str">
        <f t="shared" si="29"/>
        <v>■</v>
      </c>
      <c r="R100" s="199" t="str">
        <f t="shared" si="29"/>
        <v>■</v>
      </c>
      <c r="S100" s="199" t="str">
        <f t="shared" si="29"/>
        <v>■</v>
      </c>
      <c r="T100" s="199" t="str">
        <f t="shared" si="29"/>
        <v>■</v>
      </c>
      <c r="U100" s="199" t="str">
        <f t="shared" si="29"/>
        <v>■</v>
      </c>
      <c r="V100" s="177" t="str">
        <f t="shared" si="29"/>
        <v>■</v>
      </c>
      <c r="W100"/>
      <c r="X100" s="211" t="s">
        <v>133</v>
      </c>
      <c r="Y100" s="214" t="s">
        <v>228</v>
      </c>
      <c r="Z100" s="215">
        <v>46279</v>
      </c>
      <c r="AA100" s="215">
        <v>46340</v>
      </c>
      <c r="AB100" s="199" t="str">
        <f t="shared" si="30"/>
        <v/>
      </c>
      <c r="AC100" s="199" t="str">
        <f t="shared" si="30"/>
        <v/>
      </c>
      <c r="AD100" s="199" t="str">
        <f t="shared" si="30"/>
        <v/>
      </c>
      <c r="AE100" s="199" t="str">
        <f t="shared" si="30"/>
        <v/>
      </c>
      <c r="AF100" s="199" t="str">
        <f t="shared" si="30"/>
        <v/>
      </c>
      <c r="AG100" s="199" t="str">
        <f t="shared" si="30"/>
        <v/>
      </c>
      <c r="AH100" s="199" t="str">
        <f t="shared" si="30"/>
        <v/>
      </c>
      <c r="AI100" s="199" t="str">
        <f t="shared" si="30"/>
        <v/>
      </c>
      <c r="AJ100" s="199" t="str">
        <f t="shared" si="30"/>
        <v/>
      </c>
      <c r="AK100" s="199" t="str">
        <f t="shared" si="30"/>
        <v/>
      </c>
      <c r="AL100" s="199" t="str">
        <f t="shared" si="31"/>
        <v/>
      </c>
      <c r="AM100" s="199" t="str">
        <f t="shared" si="31"/>
        <v/>
      </c>
      <c r="AN100" s="199" t="str">
        <f t="shared" si="31"/>
        <v/>
      </c>
      <c r="AO100" s="199" t="str">
        <f t="shared" si="31"/>
        <v/>
      </c>
      <c r="AP100" s="199" t="str">
        <f t="shared" si="31"/>
        <v/>
      </c>
      <c r="AQ100" s="199" t="str">
        <f t="shared" si="31"/>
        <v/>
      </c>
      <c r="AR100" s="199" t="str">
        <f t="shared" si="31"/>
        <v/>
      </c>
      <c r="AS100" s="177" t="str">
        <f t="shared" si="31"/>
        <v/>
      </c>
      <c r="AT100" s="204" t="s">
        <v>51</v>
      </c>
      <c r="AU100" s="235" t="s">
        <v>229</v>
      </c>
      <c r="AV100" s="235" t="s">
        <v>230</v>
      </c>
      <c r="AW100" s="205" t="s">
        <v>223</v>
      </c>
    </row>
    <row r="101" spans="1:49" ht="22.5" customHeight="1">
      <c r="A101" s="175" t="s">
        <v>20</v>
      </c>
      <c r="B101" s="169" t="s">
        <v>100</v>
      </c>
      <c r="C101" s="170">
        <v>46204</v>
      </c>
      <c r="D101" s="170">
        <v>46264</v>
      </c>
      <c r="E101" s="199" t="str">
        <f t="shared" si="28"/>
        <v/>
      </c>
      <c r="F101" s="199" t="str">
        <f t="shared" si="28"/>
        <v/>
      </c>
      <c r="G101" s="199" t="str">
        <f t="shared" si="28"/>
        <v/>
      </c>
      <c r="H101" s="199" t="str">
        <f t="shared" si="28"/>
        <v/>
      </c>
      <c r="I101" s="199" t="str">
        <f t="shared" si="28"/>
        <v/>
      </c>
      <c r="J101" s="199" t="str">
        <f t="shared" si="28"/>
        <v/>
      </c>
      <c r="K101" s="199" t="str">
        <f t="shared" si="28"/>
        <v/>
      </c>
      <c r="L101" s="199" t="str">
        <f t="shared" si="28"/>
        <v/>
      </c>
      <c r="M101" s="199" t="str">
        <f t="shared" si="28"/>
        <v/>
      </c>
      <c r="N101" s="199" t="str">
        <f t="shared" si="28"/>
        <v>■</v>
      </c>
      <c r="O101" s="199" t="str">
        <f t="shared" si="29"/>
        <v>■</v>
      </c>
      <c r="P101" s="199" t="str">
        <f t="shared" si="29"/>
        <v>■</v>
      </c>
      <c r="Q101" s="199" t="str">
        <f t="shared" si="29"/>
        <v>■</v>
      </c>
      <c r="R101" s="199" t="str">
        <f t="shared" si="29"/>
        <v>■</v>
      </c>
      <c r="S101" s="199" t="str">
        <f t="shared" si="29"/>
        <v>■</v>
      </c>
      <c r="T101" s="199" t="str">
        <f t="shared" si="29"/>
        <v>■</v>
      </c>
      <c r="U101" s="199" t="str">
        <f t="shared" si="29"/>
        <v>■</v>
      </c>
      <c r="V101" s="177" t="str">
        <f t="shared" si="29"/>
        <v>■</v>
      </c>
      <c r="W101"/>
      <c r="X101" s="211" t="s">
        <v>22</v>
      </c>
      <c r="Y101" s="214" t="s">
        <v>221</v>
      </c>
      <c r="Z101" s="216">
        <v>46022</v>
      </c>
      <c r="AA101" s="216">
        <v>46386</v>
      </c>
      <c r="AB101" s="171" t="str">
        <f t="shared" si="30"/>
        <v>■</v>
      </c>
      <c r="AC101" s="171" t="str">
        <f t="shared" si="30"/>
        <v>■</v>
      </c>
      <c r="AD101" s="171" t="str">
        <f t="shared" si="30"/>
        <v>■</v>
      </c>
      <c r="AE101" s="171" t="str">
        <f t="shared" si="30"/>
        <v>■</v>
      </c>
      <c r="AF101" s="171" t="str">
        <f t="shared" si="30"/>
        <v>■</v>
      </c>
      <c r="AG101" s="171" t="str">
        <f t="shared" si="30"/>
        <v>■</v>
      </c>
      <c r="AH101" s="171" t="str">
        <f t="shared" si="30"/>
        <v>■</v>
      </c>
      <c r="AI101" s="171" t="str">
        <f t="shared" si="30"/>
        <v>■</v>
      </c>
      <c r="AJ101" s="171" t="str">
        <f t="shared" si="30"/>
        <v>■</v>
      </c>
      <c r="AK101" s="171" t="str">
        <f t="shared" si="30"/>
        <v>■</v>
      </c>
      <c r="AL101" s="171" t="str">
        <f t="shared" si="31"/>
        <v>■</v>
      </c>
      <c r="AM101" s="171" t="str">
        <f t="shared" si="31"/>
        <v>■</v>
      </c>
      <c r="AN101" s="171" t="str">
        <f t="shared" si="31"/>
        <v>■</v>
      </c>
      <c r="AO101" s="171" t="str">
        <f t="shared" si="31"/>
        <v>■</v>
      </c>
      <c r="AP101" s="171" t="str">
        <f t="shared" si="31"/>
        <v>■</v>
      </c>
      <c r="AQ101" s="171" t="str">
        <f t="shared" si="31"/>
        <v>■</v>
      </c>
      <c r="AR101" s="171" t="str">
        <f t="shared" si="31"/>
        <v>■</v>
      </c>
      <c r="AS101" s="178" t="str">
        <f t="shared" si="31"/>
        <v>■</v>
      </c>
      <c r="AT101" s="204" t="s">
        <v>49</v>
      </c>
      <c r="AU101" s="235" t="s">
        <v>222</v>
      </c>
      <c r="AV101" s="235" t="s">
        <v>231</v>
      </c>
      <c r="AW101" s="205" t="s">
        <v>223</v>
      </c>
    </row>
    <row r="102" spans="1:49" ht="22.5" customHeight="1">
      <c r="A102" s="175" t="s">
        <v>28</v>
      </c>
      <c r="B102" s="169" t="s">
        <v>97</v>
      </c>
      <c r="C102" s="170">
        <v>46143</v>
      </c>
      <c r="D102" s="170">
        <v>46264</v>
      </c>
      <c r="E102" s="200" t="str">
        <f t="shared" si="28"/>
        <v>■</v>
      </c>
      <c r="F102" s="200" t="str">
        <f t="shared" si="28"/>
        <v>■</v>
      </c>
      <c r="G102" s="200" t="str">
        <f t="shared" si="28"/>
        <v>■</v>
      </c>
      <c r="H102" s="200" t="str">
        <f t="shared" si="28"/>
        <v>■</v>
      </c>
      <c r="I102" s="200" t="str">
        <f t="shared" si="28"/>
        <v>■</v>
      </c>
      <c r="J102" s="200" t="str">
        <f t="shared" si="28"/>
        <v>■</v>
      </c>
      <c r="K102" s="200" t="str">
        <f t="shared" si="28"/>
        <v>■</v>
      </c>
      <c r="L102" s="200" t="str">
        <f t="shared" si="28"/>
        <v>■</v>
      </c>
      <c r="M102" s="200" t="str">
        <f t="shared" si="28"/>
        <v>■</v>
      </c>
      <c r="N102" s="200" t="str">
        <f t="shared" si="28"/>
        <v>■</v>
      </c>
      <c r="O102" s="200" t="str">
        <f t="shared" si="29"/>
        <v>■</v>
      </c>
      <c r="P102" s="200" t="str">
        <f t="shared" si="29"/>
        <v>■</v>
      </c>
      <c r="Q102" s="200" t="str">
        <f t="shared" si="29"/>
        <v>■</v>
      </c>
      <c r="R102" s="200" t="str">
        <f t="shared" si="29"/>
        <v>■</v>
      </c>
      <c r="S102" s="200" t="str">
        <f t="shared" si="29"/>
        <v>■</v>
      </c>
      <c r="T102" s="200" t="str">
        <f t="shared" si="29"/>
        <v>■</v>
      </c>
      <c r="U102" s="200" t="str">
        <f t="shared" si="29"/>
        <v>■</v>
      </c>
      <c r="V102" s="179" t="str">
        <f t="shared" si="29"/>
        <v>■</v>
      </c>
      <c r="W102"/>
      <c r="X102" s="211" t="s">
        <v>22</v>
      </c>
      <c r="Y102" s="214" t="s">
        <v>232</v>
      </c>
      <c r="Z102" s="216">
        <v>46093</v>
      </c>
      <c r="AA102" s="216">
        <v>46242</v>
      </c>
      <c r="AB102" s="171" t="str">
        <f t="shared" si="30"/>
        <v>■</v>
      </c>
      <c r="AC102" s="171" t="str">
        <f t="shared" si="30"/>
        <v>■</v>
      </c>
      <c r="AD102" s="171" t="str">
        <f t="shared" si="30"/>
        <v>■</v>
      </c>
      <c r="AE102" s="171" t="str">
        <f t="shared" si="30"/>
        <v>■</v>
      </c>
      <c r="AF102" s="171" t="str">
        <f t="shared" si="30"/>
        <v>■</v>
      </c>
      <c r="AG102" s="171" t="str">
        <f t="shared" si="30"/>
        <v>■</v>
      </c>
      <c r="AH102" s="171" t="str">
        <f t="shared" si="30"/>
        <v>■</v>
      </c>
      <c r="AI102" s="171" t="str">
        <f t="shared" si="30"/>
        <v>■</v>
      </c>
      <c r="AJ102" s="171" t="str">
        <f t="shared" si="30"/>
        <v>■</v>
      </c>
      <c r="AK102" s="171" t="str">
        <f t="shared" si="30"/>
        <v>■</v>
      </c>
      <c r="AL102" s="171" t="str">
        <f t="shared" si="31"/>
        <v>■</v>
      </c>
      <c r="AM102" s="171" t="str">
        <f t="shared" si="31"/>
        <v>■</v>
      </c>
      <c r="AN102" s="171" t="str">
        <f t="shared" si="31"/>
        <v>■</v>
      </c>
      <c r="AO102" s="171" t="str">
        <f t="shared" si="31"/>
        <v>■</v>
      </c>
      <c r="AP102" s="171" t="str">
        <f t="shared" si="31"/>
        <v>■</v>
      </c>
      <c r="AQ102" s="171" t="str">
        <f t="shared" si="31"/>
        <v/>
      </c>
      <c r="AR102" s="171" t="str">
        <f t="shared" si="31"/>
        <v/>
      </c>
      <c r="AS102" s="178" t="str">
        <f t="shared" si="31"/>
        <v/>
      </c>
      <c r="AT102" s="204" t="s">
        <v>233</v>
      </c>
      <c r="AU102" s="235" t="s">
        <v>234</v>
      </c>
      <c r="AV102" s="235" t="s">
        <v>235</v>
      </c>
      <c r="AW102" s="205" t="s">
        <v>223</v>
      </c>
    </row>
    <row r="103" spans="1:49" ht="22.5" customHeight="1">
      <c r="A103" s="175" t="s">
        <v>28</v>
      </c>
      <c r="B103" s="169" t="s">
        <v>98</v>
      </c>
      <c r="C103" s="170">
        <v>46204</v>
      </c>
      <c r="D103" s="170">
        <v>46264</v>
      </c>
      <c r="E103" s="200" t="str">
        <f t="shared" si="28"/>
        <v/>
      </c>
      <c r="F103" s="200" t="str">
        <f t="shared" si="28"/>
        <v/>
      </c>
      <c r="G103" s="200" t="str">
        <f t="shared" si="28"/>
        <v/>
      </c>
      <c r="H103" s="200" t="str">
        <f t="shared" si="28"/>
        <v/>
      </c>
      <c r="I103" s="200" t="str">
        <f t="shared" si="28"/>
        <v/>
      </c>
      <c r="J103" s="200" t="str">
        <f t="shared" si="28"/>
        <v/>
      </c>
      <c r="K103" s="200" t="str">
        <f t="shared" si="28"/>
        <v/>
      </c>
      <c r="L103" s="200" t="str">
        <f t="shared" si="28"/>
        <v/>
      </c>
      <c r="M103" s="200" t="str">
        <f t="shared" si="28"/>
        <v/>
      </c>
      <c r="N103" s="200" t="str">
        <f t="shared" si="28"/>
        <v>■</v>
      </c>
      <c r="O103" s="200" t="str">
        <f t="shared" si="29"/>
        <v>■</v>
      </c>
      <c r="P103" s="200" t="str">
        <f t="shared" si="29"/>
        <v>■</v>
      </c>
      <c r="Q103" s="200" t="str">
        <f t="shared" si="29"/>
        <v>■</v>
      </c>
      <c r="R103" s="200" t="str">
        <f t="shared" si="29"/>
        <v>■</v>
      </c>
      <c r="S103" s="200" t="str">
        <f t="shared" si="29"/>
        <v>■</v>
      </c>
      <c r="T103" s="200" t="str">
        <f t="shared" si="29"/>
        <v>■</v>
      </c>
      <c r="U103" s="200" t="str">
        <f t="shared" si="29"/>
        <v>■</v>
      </c>
      <c r="V103" s="179" t="str">
        <f t="shared" si="29"/>
        <v>■</v>
      </c>
      <c r="W103"/>
      <c r="X103" s="211" t="s">
        <v>28</v>
      </c>
      <c r="Y103" s="214" t="s">
        <v>221</v>
      </c>
      <c r="Z103" s="217">
        <v>46022</v>
      </c>
      <c r="AA103" s="217">
        <v>46386</v>
      </c>
      <c r="AB103" s="200" t="str">
        <f t="shared" si="30"/>
        <v>■</v>
      </c>
      <c r="AC103" s="200" t="str">
        <f t="shared" si="30"/>
        <v>■</v>
      </c>
      <c r="AD103" s="200" t="str">
        <f t="shared" si="30"/>
        <v>■</v>
      </c>
      <c r="AE103" s="200" t="str">
        <f t="shared" si="30"/>
        <v>■</v>
      </c>
      <c r="AF103" s="200" t="str">
        <f t="shared" si="30"/>
        <v>■</v>
      </c>
      <c r="AG103" s="200" t="str">
        <f t="shared" si="30"/>
        <v>■</v>
      </c>
      <c r="AH103" s="200" t="str">
        <f t="shared" si="30"/>
        <v>■</v>
      </c>
      <c r="AI103" s="200" t="str">
        <f t="shared" si="30"/>
        <v>■</v>
      </c>
      <c r="AJ103" s="200" t="str">
        <f t="shared" si="30"/>
        <v>■</v>
      </c>
      <c r="AK103" s="200" t="str">
        <f t="shared" si="30"/>
        <v>■</v>
      </c>
      <c r="AL103" s="200" t="str">
        <f t="shared" si="31"/>
        <v>■</v>
      </c>
      <c r="AM103" s="200" t="str">
        <f t="shared" si="31"/>
        <v>■</v>
      </c>
      <c r="AN103" s="200" t="str">
        <f t="shared" si="31"/>
        <v>■</v>
      </c>
      <c r="AO103" s="200" t="str">
        <f t="shared" si="31"/>
        <v>■</v>
      </c>
      <c r="AP103" s="200" t="str">
        <f t="shared" si="31"/>
        <v>■</v>
      </c>
      <c r="AQ103" s="200" t="str">
        <f t="shared" si="31"/>
        <v>■</v>
      </c>
      <c r="AR103" s="200" t="str">
        <f t="shared" si="31"/>
        <v>■</v>
      </c>
      <c r="AS103" s="179" t="str">
        <f t="shared" si="31"/>
        <v>■</v>
      </c>
      <c r="AT103" s="204" t="s">
        <v>49</v>
      </c>
      <c r="AU103" s="235" t="s">
        <v>222</v>
      </c>
      <c r="AV103" s="235" t="s">
        <v>236</v>
      </c>
      <c r="AW103" s="205" t="s">
        <v>223</v>
      </c>
    </row>
    <row r="104" spans="1:49" ht="22.5" customHeight="1">
      <c r="A104" s="175" t="s">
        <v>28</v>
      </c>
      <c r="B104" s="169" t="s">
        <v>99</v>
      </c>
      <c r="C104" s="170">
        <v>46204</v>
      </c>
      <c r="D104" s="170">
        <v>46264</v>
      </c>
      <c r="E104" s="200" t="str">
        <f t="shared" si="28"/>
        <v/>
      </c>
      <c r="F104" s="200" t="str">
        <f t="shared" si="28"/>
        <v/>
      </c>
      <c r="G104" s="200" t="str">
        <f t="shared" si="28"/>
        <v/>
      </c>
      <c r="H104" s="200" t="str">
        <f t="shared" si="28"/>
        <v/>
      </c>
      <c r="I104" s="200" t="str">
        <f t="shared" si="28"/>
        <v/>
      </c>
      <c r="J104" s="200" t="str">
        <f t="shared" si="28"/>
        <v/>
      </c>
      <c r="K104" s="200" t="str">
        <f t="shared" si="28"/>
        <v/>
      </c>
      <c r="L104" s="200" t="str">
        <f t="shared" si="28"/>
        <v/>
      </c>
      <c r="M104" s="200" t="str">
        <f t="shared" si="28"/>
        <v/>
      </c>
      <c r="N104" s="200" t="str">
        <f t="shared" si="28"/>
        <v>■</v>
      </c>
      <c r="O104" s="200" t="str">
        <f t="shared" si="29"/>
        <v>■</v>
      </c>
      <c r="P104" s="200" t="str">
        <f t="shared" si="29"/>
        <v>■</v>
      </c>
      <c r="Q104" s="200" t="str">
        <f t="shared" si="29"/>
        <v>■</v>
      </c>
      <c r="R104" s="200" t="str">
        <f t="shared" si="29"/>
        <v>■</v>
      </c>
      <c r="S104" s="200" t="str">
        <f t="shared" si="29"/>
        <v>■</v>
      </c>
      <c r="T104" s="200" t="str">
        <f t="shared" si="29"/>
        <v>■</v>
      </c>
      <c r="U104" s="200" t="str">
        <f t="shared" si="29"/>
        <v>■</v>
      </c>
      <c r="V104" s="179" t="str">
        <f t="shared" si="29"/>
        <v>■</v>
      </c>
      <c r="W104"/>
      <c r="X104" s="211" t="s">
        <v>28</v>
      </c>
      <c r="Y104" s="214" t="s">
        <v>237</v>
      </c>
      <c r="Z104" s="217">
        <v>46144</v>
      </c>
      <c r="AA104" s="217">
        <v>46175</v>
      </c>
      <c r="AB104" s="200" t="str">
        <f t="shared" si="30"/>
        <v>■</v>
      </c>
      <c r="AC104" s="200" t="str">
        <f t="shared" si="30"/>
        <v>■</v>
      </c>
      <c r="AD104" s="200" t="str">
        <f t="shared" si="30"/>
        <v>■</v>
      </c>
      <c r="AE104" s="200" t="str">
        <f t="shared" si="30"/>
        <v>■</v>
      </c>
      <c r="AF104" s="200" t="str">
        <f t="shared" si="30"/>
        <v>■</v>
      </c>
      <c r="AG104" s="200" t="str">
        <f t="shared" si="30"/>
        <v>■</v>
      </c>
      <c r="AH104" s="200" t="str">
        <f t="shared" si="30"/>
        <v/>
      </c>
      <c r="AI104" s="200" t="str">
        <f t="shared" si="30"/>
        <v/>
      </c>
      <c r="AJ104" s="200" t="str">
        <f t="shared" si="30"/>
        <v/>
      </c>
      <c r="AK104" s="200" t="str">
        <f t="shared" si="30"/>
        <v/>
      </c>
      <c r="AL104" s="200" t="str">
        <f t="shared" si="31"/>
        <v/>
      </c>
      <c r="AM104" s="200" t="str">
        <f t="shared" si="31"/>
        <v/>
      </c>
      <c r="AN104" s="200" t="str">
        <f t="shared" si="31"/>
        <v/>
      </c>
      <c r="AO104" s="200" t="str">
        <f t="shared" si="31"/>
        <v/>
      </c>
      <c r="AP104" s="200" t="str">
        <f t="shared" si="31"/>
        <v/>
      </c>
      <c r="AQ104" s="200" t="str">
        <f t="shared" si="31"/>
        <v/>
      </c>
      <c r="AR104" s="200" t="str">
        <f t="shared" si="31"/>
        <v/>
      </c>
      <c r="AS104" s="179" t="str">
        <f t="shared" si="31"/>
        <v/>
      </c>
      <c r="AT104" s="204" t="s">
        <v>238</v>
      </c>
      <c r="AU104" s="235" t="s">
        <v>239</v>
      </c>
      <c r="AV104" s="235" t="s">
        <v>236</v>
      </c>
      <c r="AW104" s="205" t="s">
        <v>223</v>
      </c>
    </row>
    <row r="105" spans="1:49" ht="22.5" customHeight="1">
      <c r="A105" s="176" t="s">
        <v>28</v>
      </c>
      <c r="B105" s="172" t="s">
        <v>100</v>
      </c>
      <c r="C105" s="173">
        <v>46204</v>
      </c>
      <c r="D105" s="173">
        <v>46264</v>
      </c>
      <c r="E105" s="174" t="str">
        <f t="shared" si="28"/>
        <v/>
      </c>
      <c r="F105" s="174" t="str">
        <f t="shared" si="28"/>
        <v/>
      </c>
      <c r="G105" s="174" t="str">
        <f t="shared" si="28"/>
        <v/>
      </c>
      <c r="H105" s="174" t="str">
        <f t="shared" si="28"/>
        <v/>
      </c>
      <c r="I105" s="174" t="str">
        <f t="shared" si="28"/>
        <v/>
      </c>
      <c r="J105" s="174" t="str">
        <f t="shared" si="28"/>
        <v/>
      </c>
      <c r="K105" s="174" t="str">
        <f t="shared" si="28"/>
        <v/>
      </c>
      <c r="L105" s="174" t="str">
        <f t="shared" si="28"/>
        <v/>
      </c>
      <c r="M105" s="174" t="str">
        <f t="shared" si="28"/>
        <v/>
      </c>
      <c r="N105" s="174" t="str">
        <f t="shared" si="28"/>
        <v>■</v>
      </c>
      <c r="O105" s="174" t="str">
        <f t="shared" si="29"/>
        <v>■</v>
      </c>
      <c r="P105" s="174" t="str">
        <f t="shared" si="29"/>
        <v>■</v>
      </c>
      <c r="Q105" s="174" t="str">
        <f t="shared" si="29"/>
        <v>■</v>
      </c>
      <c r="R105" s="174" t="str">
        <f t="shared" si="29"/>
        <v>■</v>
      </c>
      <c r="S105" s="174" t="str">
        <f t="shared" si="29"/>
        <v>■</v>
      </c>
      <c r="T105" s="174" t="str">
        <f t="shared" si="29"/>
        <v>■</v>
      </c>
      <c r="U105" s="174" t="str">
        <f t="shared" si="29"/>
        <v>■</v>
      </c>
      <c r="V105" s="180" t="str">
        <f t="shared" si="29"/>
        <v>■</v>
      </c>
      <c r="W105"/>
      <c r="X105" s="212" t="s">
        <v>28</v>
      </c>
      <c r="Y105" s="213" t="s">
        <v>240</v>
      </c>
      <c r="Z105" s="218">
        <v>46096</v>
      </c>
      <c r="AA105" s="218">
        <v>46242</v>
      </c>
      <c r="AB105" s="174" t="str">
        <f t="shared" si="30"/>
        <v>■</v>
      </c>
      <c r="AC105" s="174" t="str">
        <f t="shared" si="30"/>
        <v>■</v>
      </c>
      <c r="AD105" s="174" t="str">
        <f t="shared" si="30"/>
        <v>■</v>
      </c>
      <c r="AE105" s="174" t="str">
        <f t="shared" si="30"/>
        <v>■</v>
      </c>
      <c r="AF105" s="174" t="str">
        <f t="shared" si="30"/>
        <v>■</v>
      </c>
      <c r="AG105" s="174" t="str">
        <f t="shared" si="30"/>
        <v>■</v>
      </c>
      <c r="AH105" s="174" t="str">
        <f t="shared" si="30"/>
        <v>■</v>
      </c>
      <c r="AI105" s="174" t="str">
        <f t="shared" si="30"/>
        <v>■</v>
      </c>
      <c r="AJ105" s="174" t="str">
        <f t="shared" si="30"/>
        <v>■</v>
      </c>
      <c r="AK105" s="174" t="str">
        <f t="shared" si="30"/>
        <v>■</v>
      </c>
      <c r="AL105" s="174" t="str">
        <f t="shared" si="31"/>
        <v>■</v>
      </c>
      <c r="AM105" s="174" t="str">
        <f t="shared" si="31"/>
        <v>■</v>
      </c>
      <c r="AN105" s="174" t="str">
        <f t="shared" si="31"/>
        <v>■</v>
      </c>
      <c r="AO105" s="174" t="str">
        <f t="shared" si="31"/>
        <v>■</v>
      </c>
      <c r="AP105" s="174" t="str">
        <f t="shared" si="31"/>
        <v>■</v>
      </c>
      <c r="AQ105" s="174" t="str">
        <f t="shared" si="31"/>
        <v/>
      </c>
      <c r="AR105" s="174" t="str">
        <f t="shared" si="31"/>
        <v/>
      </c>
      <c r="AS105" s="180" t="str">
        <f t="shared" si="31"/>
        <v/>
      </c>
      <c r="AT105" s="206" t="s">
        <v>241</v>
      </c>
      <c r="AU105" s="207" t="s">
        <v>242</v>
      </c>
      <c r="AV105" s="207" t="s">
        <v>243</v>
      </c>
      <c r="AW105" s="239" t="s">
        <v>223</v>
      </c>
    </row>
    <row r="106" spans="1:49" s="208" customFormat="1" ht="22.5" customHeight="1">
      <c r="A106" s="292" t="s">
        <v>244</v>
      </c>
      <c r="B106" s="292"/>
      <c r="C106" s="292"/>
      <c r="D106" s="292"/>
      <c r="E106" s="292"/>
      <c r="F106" s="292"/>
      <c r="G106" s="292"/>
      <c r="H106" s="292"/>
      <c r="I106" s="292"/>
      <c r="J106" s="292"/>
      <c r="K106" s="292"/>
      <c r="L106" s="292"/>
      <c r="M106" s="292"/>
      <c r="N106" s="292"/>
      <c r="O106" s="292"/>
      <c r="P106" s="292"/>
      <c r="Q106" s="292"/>
      <c r="R106" s="292"/>
      <c r="S106" s="292"/>
      <c r="T106" s="292"/>
      <c r="U106" s="292"/>
      <c r="V106" s="292"/>
      <c r="W106" s="209"/>
      <c r="X106" s="294" t="s">
        <v>245</v>
      </c>
      <c r="Y106" s="294"/>
      <c r="Z106" s="294"/>
      <c r="AA106" s="294"/>
      <c r="AB106" s="294"/>
      <c r="AC106" s="294"/>
      <c r="AD106" s="294"/>
      <c r="AE106" s="294"/>
      <c r="AF106" s="294"/>
      <c r="AG106" s="294"/>
      <c r="AH106" s="294"/>
      <c r="AI106" s="294"/>
      <c r="AJ106" s="294"/>
      <c r="AK106" s="294"/>
      <c r="AL106" s="294"/>
      <c r="AM106" s="294"/>
      <c r="AN106" s="294"/>
      <c r="AO106" s="294"/>
      <c r="AP106" s="294"/>
      <c r="AQ106" s="294"/>
      <c r="AR106" s="294"/>
      <c r="AS106" s="294"/>
      <c r="AT106" s="237" t="str" cm="1">
        <f t="array" ref="AT106">_xlfn.LET(_xlpm.mL,A106,_xlpm.aL,B106,_xlpm.mR,X106,_xlpm.aR,Y106,_xlpm.useR,AND(_xlpm.mR&lt;&gt;"",_xlpm.mR&lt;&gt;"Model",LEFT(_xlpm.mR,6)&lt;&gt;"Markt:"),_xlpm.m,IF(_xlpm.useR,_xlpm.mR,_xlpm.mL),_xlpm.a,IF(_xlpm.useR,_xlpm.aR,_xlpm.aL),_xlpm.rng,IF(_xlpm.useR,X$1:X106,A$1:A106),IF(OR(_xlpm.m="",_xlpm.m="Model",LEFT(_xlpm.m,6)="Markt:"),"",_xlfn.LET(_xlpm.mkt,LOOKUP(2,1/(LEFT(_xlpm.rng,6)="Markt:"),_xlpm.rng),_xlpm.mktNameRaw,TRIM(MID(_xlpm.mkt,FIND(":",_xlpm.mkt)+1,99)),_xlpm.mktName,TRIM(SUBSTITUTE(_xlpm.mktNameRaw,"(Survey)","")),_xlfn.XLOOKUP(_xlpm.mktName&amp;"|"&amp;SUBSTITUTE(_xlpm.m," ","")&amp;"|"&amp;_xlpm.a,tblMassnahmen[Key],tblMassnahmen[Kanal],""))))</f>
        <v/>
      </c>
      <c r="AU106" s="237" t="str" cm="1">
        <f t="array" ref="AU106">_xlfn.LET(_xlpm.mL,A106,_xlpm.aL,B106,_xlpm.mR,X106,_xlpm.aR,Y106,_xlpm.useR,AND(_xlpm.mR&lt;&gt;"",_xlpm.mR&lt;&gt;"Model",LEFT(_xlpm.mR,6)&lt;&gt;"Markt:"),_xlpm.m,IF(_xlpm.useR,_xlpm.mR,_xlpm.mL),_xlpm.a,IF(_xlpm.useR,_xlpm.aR,_xlpm.aL),_xlpm.rng,IF(_xlpm.useR,X$1:X106,A$1:A106),IF(OR(_xlpm.m="",_xlpm.m="Model",LEFT(_xlpm.m,6)="Markt:"),"",_xlfn.LET(_xlpm.mkt,LOOKUP(2,1/(LEFT(_xlpm.rng,6)="Markt:"),_xlpm.rng),_xlpm.mktNameRaw,TRIM(MID(_xlpm.mkt,FIND(":",_xlpm.mkt)+1,99)),_xlpm.mktName,TRIM(SUBSTITUTE(_xlpm.mktNameRaw,"(Survey)","")),_xlfn.XLOOKUP(_xlpm.mktName&amp;"|"&amp;SUBSTITUTE(_xlpm.m," ","")&amp;"|"&amp;_xlpm.a,tblMassnahmen[Key],tblMassnahmen[Budget],""))))</f>
        <v/>
      </c>
      <c r="AV106" s="237" t="str" cm="1">
        <f t="array" ref="AV106">_xlfn.LET(_xlpm.mL,A106,_xlpm.aL,B106,_xlpm.mR,X106,_xlpm.aR,Y106,_xlpm.useR,AND(_xlpm.mR&lt;&gt;"",_xlpm.mR&lt;&gt;"Model",LEFT(_xlpm.mR,6)&lt;&gt;"Markt:"),_xlpm.m,IF(_xlpm.useR,_xlpm.mR,_xlpm.mL),_xlpm.a,IF(_xlpm.useR,_xlpm.aR,_xlpm.aL),_xlpm.rng,IF(_xlpm.useR,X$1:X106,A$1:A106),IF(OR(_xlpm.m="",_xlpm.m="Model",LEFT(_xlpm.m,6)="Markt:"),"",_xlfn.LET(_xlpm.mkt,LOOKUP(2,1/(LEFT(_xlpm.rng,6)="Markt:"),_xlpm.rng),_xlpm.mktNameRaw,TRIM(MID(_xlpm.mkt,FIND(":",_xlpm.mkt)+1,99)),_xlpm.mktName,TRIM(SUBSTITUTE(_xlpm.mktNameRaw,"(Survey)","")),_xlfn.XLOOKUP(_xlpm.mktName&amp;"|"&amp;SUBSTITUTE(_xlpm.m," ","")&amp;"|"&amp;_xlpm.a,tblMassnahmen[Key],tblMassnahmen[KPI],""))))</f>
        <v/>
      </c>
      <c r="AW106" s="198"/>
    </row>
    <row r="107" spans="1:49" s="208" customFormat="1" ht="22.5" customHeight="1">
      <c r="A107" s="186" t="s">
        <v>105</v>
      </c>
      <c r="B107" s="187" t="s">
        <v>106</v>
      </c>
      <c r="C107" s="181" t="s">
        <v>95</v>
      </c>
      <c r="D107" s="181" t="s">
        <v>96</v>
      </c>
      <c r="E107" s="184" t="s">
        <v>107</v>
      </c>
      <c r="F107" s="184" t="s">
        <v>108</v>
      </c>
      <c r="G107" s="184" t="s">
        <v>109</v>
      </c>
      <c r="H107" s="184" t="s">
        <v>110</v>
      </c>
      <c r="I107" s="184" t="s">
        <v>111</v>
      </c>
      <c r="J107" s="184" t="s">
        <v>112</v>
      </c>
      <c r="K107" s="184" t="s">
        <v>113</v>
      </c>
      <c r="L107" s="184" t="s">
        <v>114</v>
      </c>
      <c r="M107" s="184" t="s">
        <v>115</v>
      </c>
      <c r="N107" s="184" t="s">
        <v>116</v>
      </c>
      <c r="O107" s="184" t="s">
        <v>117</v>
      </c>
      <c r="P107" s="184" t="s">
        <v>118</v>
      </c>
      <c r="Q107" s="184" t="s">
        <v>119</v>
      </c>
      <c r="R107" s="184" t="s">
        <v>120</v>
      </c>
      <c r="S107" s="184" t="s">
        <v>121</v>
      </c>
      <c r="T107" s="184" t="s">
        <v>122</v>
      </c>
      <c r="U107" s="184" t="s">
        <v>123</v>
      </c>
      <c r="V107" s="185" t="s">
        <v>124</v>
      </c>
      <c r="W107" s="209"/>
      <c r="X107" s="219" t="s">
        <v>105</v>
      </c>
      <c r="Y107" s="220" t="s">
        <v>125</v>
      </c>
      <c r="Z107" s="184" t="s">
        <v>95</v>
      </c>
      <c r="AA107" s="184" t="s">
        <v>96</v>
      </c>
      <c r="AB107" s="184" t="s">
        <v>107</v>
      </c>
      <c r="AC107" s="184" t="s">
        <v>108</v>
      </c>
      <c r="AD107" s="184" t="s">
        <v>109</v>
      </c>
      <c r="AE107" s="184" t="s">
        <v>110</v>
      </c>
      <c r="AF107" s="184" t="s">
        <v>111</v>
      </c>
      <c r="AG107" s="184" t="s">
        <v>112</v>
      </c>
      <c r="AH107" s="184" t="s">
        <v>113</v>
      </c>
      <c r="AI107" s="184" t="s">
        <v>114</v>
      </c>
      <c r="AJ107" s="184" t="s">
        <v>115</v>
      </c>
      <c r="AK107" s="184" t="s">
        <v>116</v>
      </c>
      <c r="AL107" s="184" t="s">
        <v>117</v>
      </c>
      <c r="AM107" s="184" t="s">
        <v>118</v>
      </c>
      <c r="AN107" s="184" t="s">
        <v>119</v>
      </c>
      <c r="AO107" s="184" t="s">
        <v>120</v>
      </c>
      <c r="AP107" s="184" t="s">
        <v>121</v>
      </c>
      <c r="AQ107" s="184" t="s">
        <v>122</v>
      </c>
      <c r="AR107" s="184" t="s">
        <v>123</v>
      </c>
      <c r="AS107" s="185" t="s">
        <v>124</v>
      </c>
      <c r="AT107" s="202" t="s">
        <v>126</v>
      </c>
      <c r="AU107" s="201" t="s">
        <v>127</v>
      </c>
      <c r="AV107" s="201" t="s">
        <v>128</v>
      </c>
      <c r="AW107" s="203" t="s">
        <v>129</v>
      </c>
    </row>
    <row r="108" spans="1:49" ht="22.5" customHeight="1">
      <c r="A108" s="175" t="s">
        <v>20</v>
      </c>
      <c r="B108" s="169" t="s">
        <v>97</v>
      </c>
      <c r="C108" s="170">
        <v>46143</v>
      </c>
      <c r="D108" s="170">
        <v>46264</v>
      </c>
      <c r="E108" s="199" t="str">
        <f t="shared" ref="E108:N113" si="32">IFERROR(IF(OR($A108="",$A108="Model",LEFT($A108,5)="Markt"),"",IF(AND($C108&lt;=E$3+6,$D108&gt;=E$3),"■","")),"")</f>
        <v>■</v>
      </c>
      <c r="F108" s="199" t="str">
        <f t="shared" si="32"/>
        <v>■</v>
      </c>
      <c r="G108" s="199" t="str">
        <f t="shared" si="32"/>
        <v>■</v>
      </c>
      <c r="H108" s="199" t="str">
        <f t="shared" si="32"/>
        <v>■</v>
      </c>
      <c r="I108" s="199" t="str">
        <f t="shared" si="32"/>
        <v>■</v>
      </c>
      <c r="J108" s="199" t="str">
        <f t="shared" si="32"/>
        <v>■</v>
      </c>
      <c r="K108" s="199" t="str">
        <f t="shared" si="32"/>
        <v>■</v>
      </c>
      <c r="L108" s="199" t="str">
        <f t="shared" si="32"/>
        <v>■</v>
      </c>
      <c r="M108" s="199" t="str">
        <f t="shared" si="32"/>
        <v>■</v>
      </c>
      <c r="N108" s="199" t="str">
        <f t="shared" si="32"/>
        <v>■</v>
      </c>
      <c r="O108" s="199" t="str">
        <f t="shared" ref="O108:V113" si="33">IFERROR(IF(OR($A108="",$A108="Model",LEFT($A108,5)="Markt"),"",IF(AND($C108&lt;=O$3+6,$D108&gt;=O$3),"■","")),"")</f>
        <v>■</v>
      </c>
      <c r="P108" s="199" t="str">
        <f t="shared" si="33"/>
        <v>■</v>
      </c>
      <c r="Q108" s="199" t="str">
        <f t="shared" si="33"/>
        <v>■</v>
      </c>
      <c r="R108" s="199" t="str">
        <f t="shared" si="33"/>
        <v>■</v>
      </c>
      <c r="S108" s="199" t="str">
        <f t="shared" si="33"/>
        <v>■</v>
      </c>
      <c r="T108" s="199" t="str">
        <f t="shared" si="33"/>
        <v>■</v>
      </c>
      <c r="U108" s="199" t="str">
        <f t="shared" si="33"/>
        <v>■</v>
      </c>
      <c r="V108" s="177" t="str">
        <f t="shared" si="33"/>
        <v>■</v>
      </c>
      <c r="X108" s="211" t="s">
        <v>133</v>
      </c>
      <c r="Y108" s="214" t="s">
        <v>246</v>
      </c>
      <c r="Z108" s="215">
        <v>46063</v>
      </c>
      <c r="AA108" s="215">
        <v>46086</v>
      </c>
      <c r="AB108" s="199" t="str">
        <f t="shared" ref="AB108:AK110" si="34">IF(AND($Z108&lt;=(AB$3+6),$AA108&gt;=AB$3),"■","")</f>
        <v/>
      </c>
      <c r="AC108" s="199" t="str">
        <f t="shared" si="34"/>
        <v/>
      </c>
      <c r="AD108" s="199" t="str">
        <f t="shared" si="34"/>
        <v/>
      </c>
      <c r="AE108" s="199" t="str">
        <f t="shared" si="34"/>
        <v/>
      </c>
      <c r="AF108" s="199" t="str">
        <f t="shared" si="34"/>
        <v/>
      </c>
      <c r="AG108" s="199" t="str">
        <f t="shared" si="34"/>
        <v/>
      </c>
      <c r="AH108" s="199" t="str">
        <f t="shared" si="34"/>
        <v/>
      </c>
      <c r="AI108" s="199" t="str">
        <f t="shared" si="34"/>
        <v/>
      </c>
      <c r="AJ108" s="199" t="str">
        <f t="shared" si="34"/>
        <v/>
      </c>
      <c r="AK108" s="199" t="str">
        <f t="shared" si="34"/>
        <v/>
      </c>
      <c r="AL108" s="199" t="str">
        <f t="shared" ref="AL108:AS110" si="35">IF(AND($Z108&lt;=(AL$3+6),$AA108&gt;=AL$3),"■","")</f>
        <v/>
      </c>
      <c r="AM108" s="199" t="str">
        <f t="shared" si="35"/>
        <v/>
      </c>
      <c r="AN108" s="199" t="str">
        <f t="shared" si="35"/>
        <v/>
      </c>
      <c r="AO108" s="199" t="str">
        <f t="shared" si="35"/>
        <v/>
      </c>
      <c r="AP108" s="199" t="str">
        <f t="shared" si="35"/>
        <v/>
      </c>
      <c r="AQ108" s="199" t="str">
        <f t="shared" si="35"/>
        <v/>
      </c>
      <c r="AR108" s="199" t="str">
        <f t="shared" si="35"/>
        <v/>
      </c>
      <c r="AS108" s="177" t="str">
        <f t="shared" si="35"/>
        <v/>
      </c>
      <c r="AT108" s="204" t="s">
        <v>247</v>
      </c>
      <c r="AU108" s="235" t="s">
        <v>248</v>
      </c>
      <c r="AV108" s="235" t="s">
        <v>236</v>
      </c>
      <c r="AW108" s="205" t="s">
        <v>249</v>
      </c>
    </row>
    <row r="109" spans="1:49" ht="22.5" customHeight="1">
      <c r="A109" s="175" t="s">
        <v>20</v>
      </c>
      <c r="B109" s="169" t="s">
        <v>99</v>
      </c>
      <c r="C109" s="170">
        <v>46143</v>
      </c>
      <c r="D109" s="170">
        <v>46264</v>
      </c>
      <c r="E109" s="199" t="str">
        <f t="shared" si="32"/>
        <v>■</v>
      </c>
      <c r="F109" s="199" t="str">
        <f t="shared" si="32"/>
        <v>■</v>
      </c>
      <c r="G109" s="199" t="str">
        <f t="shared" si="32"/>
        <v>■</v>
      </c>
      <c r="H109" s="199" t="str">
        <f t="shared" si="32"/>
        <v>■</v>
      </c>
      <c r="I109" s="199" t="str">
        <f t="shared" si="32"/>
        <v>■</v>
      </c>
      <c r="J109" s="199" t="str">
        <f t="shared" si="32"/>
        <v>■</v>
      </c>
      <c r="K109" s="199" t="str">
        <f t="shared" si="32"/>
        <v>■</v>
      </c>
      <c r="L109" s="199" t="str">
        <f t="shared" si="32"/>
        <v>■</v>
      </c>
      <c r="M109" s="199" t="str">
        <f t="shared" si="32"/>
        <v>■</v>
      </c>
      <c r="N109" s="199" t="str">
        <f t="shared" si="32"/>
        <v>■</v>
      </c>
      <c r="O109" s="199" t="str">
        <f t="shared" si="33"/>
        <v>■</v>
      </c>
      <c r="P109" s="199" t="str">
        <f t="shared" si="33"/>
        <v>■</v>
      </c>
      <c r="Q109" s="199" t="str">
        <f t="shared" si="33"/>
        <v>■</v>
      </c>
      <c r="R109" s="199" t="str">
        <f t="shared" si="33"/>
        <v>■</v>
      </c>
      <c r="S109" s="199" t="str">
        <f t="shared" si="33"/>
        <v>■</v>
      </c>
      <c r="T109" s="199" t="str">
        <f t="shared" si="33"/>
        <v>■</v>
      </c>
      <c r="U109" s="199" t="str">
        <f t="shared" si="33"/>
        <v>■</v>
      </c>
      <c r="V109" s="177" t="str">
        <f t="shared" si="33"/>
        <v>■</v>
      </c>
      <c r="X109" s="211" t="s">
        <v>133</v>
      </c>
      <c r="Y109" s="214" t="s">
        <v>250</v>
      </c>
      <c r="Z109" s="215">
        <v>46093</v>
      </c>
      <c r="AA109" s="215">
        <v>46112</v>
      </c>
      <c r="AB109" s="199" t="str">
        <f t="shared" si="34"/>
        <v/>
      </c>
      <c r="AC109" s="199" t="str">
        <f t="shared" si="34"/>
        <v/>
      </c>
      <c r="AD109" s="199" t="str">
        <f t="shared" si="34"/>
        <v/>
      </c>
      <c r="AE109" s="199" t="str">
        <f t="shared" si="34"/>
        <v/>
      </c>
      <c r="AF109" s="199" t="str">
        <f t="shared" si="34"/>
        <v/>
      </c>
      <c r="AG109" s="199" t="str">
        <f t="shared" si="34"/>
        <v/>
      </c>
      <c r="AH109" s="199" t="str">
        <f t="shared" si="34"/>
        <v/>
      </c>
      <c r="AI109" s="199" t="str">
        <f t="shared" si="34"/>
        <v/>
      </c>
      <c r="AJ109" s="199" t="str">
        <f t="shared" si="34"/>
        <v/>
      </c>
      <c r="AK109" s="199" t="str">
        <f t="shared" si="34"/>
        <v/>
      </c>
      <c r="AL109" s="199" t="str">
        <f t="shared" si="35"/>
        <v/>
      </c>
      <c r="AM109" s="199" t="str">
        <f t="shared" si="35"/>
        <v/>
      </c>
      <c r="AN109" s="199" t="str">
        <f t="shared" si="35"/>
        <v/>
      </c>
      <c r="AO109" s="199" t="str">
        <f t="shared" si="35"/>
        <v/>
      </c>
      <c r="AP109" s="199" t="str">
        <f t="shared" si="35"/>
        <v/>
      </c>
      <c r="AQ109" s="199" t="str">
        <f t="shared" si="35"/>
        <v/>
      </c>
      <c r="AR109" s="199" t="str">
        <f t="shared" si="35"/>
        <v/>
      </c>
      <c r="AS109" s="177" t="str">
        <f t="shared" si="35"/>
        <v/>
      </c>
      <c r="AT109" s="204" t="s">
        <v>141</v>
      </c>
      <c r="AU109" s="235" t="s">
        <v>251</v>
      </c>
      <c r="AV109" s="235" t="s">
        <v>135</v>
      </c>
      <c r="AW109" s="205" t="s">
        <v>252</v>
      </c>
    </row>
    <row r="110" spans="1:49" ht="22.5" customHeight="1">
      <c r="A110" s="175" t="s">
        <v>20</v>
      </c>
      <c r="B110" s="169" t="s">
        <v>100</v>
      </c>
      <c r="C110" s="170">
        <v>46204</v>
      </c>
      <c r="D110" s="170">
        <v>46264</v>
      </c>
      <c r="E110" s="199" t="str">
        <f t="shared" si="32"/>
        <v/>
      </c>
      <c r="F110" s="199" t="str">
        <f t="shared" si="32"/>
        <v/>
      </c>
      <c r="G110" s="199" t="str">
        <f t="shared" si="32"/>
        <v/>
      </c>
      <c r="H110" s="199" t="str">
        <f t="shared" si="32"/>
        <v/>
      </c>
      <c r="I110" s="199" t="str">
        <f t="shared" si="32"/>
        <v/>
      </c>
      <c r="J110" s="199" t="str">
        <f t="shared" si="32"/>
        <v/>
      </c>
      <c r="K110" s="199" t="str">
        <f t="shared" si="32"/>
        <v/>
      </c>
      <c r="L110" s="199" t="str">
        <f t="shared" si="32"/>
        <v/>
      </c>
      <c r="M110" s="199" t="str">
        <f t="shared" si="32"/>
        <v/>
      </c>
      <c r="N110" s="199" t="str">
        <f t="shared" si="32"/>
        <v>■</v>
      </c>
      <c r="O110" s="199" t="str">
        <f t="shared" si="33"/>
        <v>■</v>
      </c>
      <c r="P110" s="199" t="str">
        <f t="shared" si="33"/>
        <v>■</v>
      </c>
      <c r="Q110" s="199" t="str">
        <f t="shared" si="33"/>
        <v>■</v>
      </c>
      <c r="R110" s="199" t="str">
        <f t="shared" si="33"/>
        <v>■</v>
      </c>
      <c r="S110" s="199" t="str">
        <f t="shared" si="33"/>
        <v>■</v>
      </c>
      <c r="T110" s="199" t="str">
        <f t="shared" si="33"/>
        <v>■</v>
      </c>
      <c r="U110" s="199" t="str">
        <f t="shared" si="33"/>
        <v>■</v>
      </c>
      <c r="V110" s="177" t="str">
        <f t="shared" si="33"/>
        <v>■</v>
      </c>
      <c r="X110" s="212" t="s">
        <v>28</v>
      </c>
      <c r="Y110" s="213" t="s">
        <v>253</v>
      </c>
      <c r="Z110" s="218">
        <v>46022</v>
      </c>
      <c r="AA110" s="218">
        <v>46047</v>
      </c>
      <c r="AB110" s="174" t="str">
        <f t="shared" si="34"/>
        <v/>
      </c>
      <c r="AC110" s="174" t="str">
        <f t="shared" si="34"/>
        <v/>
      </c>
      <c r="AD110" s="174" t="str">
        <f t="shared" si="34"/>
        <v/>
      </c>
      <c r="AE110" s="174" t="str">
        <f t="shared" si="34"/>
        <v/>
      </c>
      <c r="AF110" s="174" t="str">
        <f t="shared" si="34"/>
        <v/>
      </c>
      <c r="AG110" s="174" t="str">
        <f t="shared" si="34"/>
        <v/>
      </c>
      <c r="AH110" s="174" t="str">
        <f t="shared" si="34"/>
        <v/>
      </c>
      <c r="AI110" s="174" t="str">
        <f t="shared" si="34"/>
        <v/>
      </c>
      <c r="AJ110" s="174" t="str">
        <f t="shared" si="34"/>
        <v/>
      </c>
      <c r="AK110" s="174" t="str">
        <f t="shared" si="34"/>
        <v/>
      </c>
      <c r="AL110" s="174" t="str">
        <f t="shared" si="35"/>
        <v/>
      </c>
      <c r="AM110" s="174" t="str">
        <f t="shared" si="35"/>
        <v/>
      </c>
      <c r="AN110" s="174" t="str">
        <f t="shared" si="35"/>
        <v/>
      </c>
      <c r="AO110" s="174" t="str">
        <f t="shared" si="35"/>
        <v/>
      </c>
      <c r="AP110" s="174" t="str">
        <f t="shared" si="35"/>
        <v/>
      </c>
      <c r="AQ110" s="174" t="str">
        <f t="shared" si="35"/>
        <v/>
      </c>
      <c r="AR110" s="174" t="str">
        <f t="shared" si="35"/>
        <v/>
      </c>
      <c r="AS110" s="180" t="str">
        <f t="shared" si="35"/>
        <v/>
      </c>
      <c r="AT110" s="206" t="s">
        <v>206</v>
      </c>
      <c r="AU110" s="207" t="s">
        <v>254</v>
      </c>
      <c r="AV110" s="207" t="s">
        <v>159</v>
      </c>
      <c r="AW110" s="239" t="s">
        <v>255</v>
      </c>
    </row>
    <row r="111" spans="1:49" ht="22.5" customHeight="1">
      <c r="A111" s="175" t="s">
        <v>28</v>
      </c>
      <c r="B111" s="169" t="s">
        <v>97</v>
      </c>
      <c r="C111" s="170">
        <v>46143</v>
      </c>
      <c r="D111" s="170">
        <v>46264</v>
      </c>
      <c r="E111" s="200" t="str">
        <f t="shared" si="32"/>
        <v>■</v>
      </c>
      <c r="F111" s="200" t="str">
        <f t="shared" si="32"/>
        <v>■</v>
      </c>
      <c r="G111" s="200" t="str">
        <f t="shared" si="32"/>
        <v>■</v>
      </c>
      <c r="H111" s="200" t="str">
        <f t="shared" si="32"/>
        <v>■</v>
      </c>
      <c r="I111" s="200" t="str">
        <f t="shared" si="32"/>
        <v>■</v>
      </c>
      <c r="J111" s="200" t="str">
        <f t="shared" si="32"/>
        <v>■</v>
      </c>
      <c r="K111" s="200" t="str">
        <f t="shared" si="32"/>
        <v>■</v>
      </c>
      <c r="L111" s="200" t="str">
        <f t="shared" si="32"/>
        <v>■</v>
      </c>
      <c r="M111" s="200" t="str">
        <f t="shared" si="32"/>
        <v>■</v>
      </c>
      <c r="N111" s="200" t="str">
        <f t="shared" si="32"/>
        <v>■</v>
      </c>
      <c r="O111" s="200" t="str">
        <f t="shared" si="33"/>
        <v>■</v>
      </c>
      <c r="P111" s="200" t="str">
        <f t="shared" si="33"/>
        <v>■</v>
      </c>
      <c r="Q111" s="200" t="str">
        <f t="shared" si="33"/>
        <v>■</v>
      </c>
      <c r="R111" s="200" t="str">
        <f t="shared" si="33"/>
        <v>■</v>
      </c>
      <c r="S111" s="200" t="str">
        <f t="shared" si="33"/>
        <v>■</v>
      </c>
      <c r="T111" s="200" t="str">
        <f t="shared" si="33"/>
        <v>■</v>
      </c>
      <c r="U111" s="200" t="str">
        <f t="shared" si="33"/>
        <v>■</v>
      </c>
      <c r="V111" s="179" t="str">
        <f t="shared" si="33"/>
        <v>■</v>
      </c>
      <c r="X111" s="214"/>
      <c r="Y111" s="214"/>
      <c r="Z111" s="170"/>
      <c r="AA111" s="170"/>
      <c r="AB111" s="171"/>
      <c r="AC111" s="171"/>
      <c r="AD111" s="171"/>
      <c r="AE111" s="171"/>
      <c r="AF111" s="171"/>
      <c r="AG111" s="171"/>
      <c r="AH111" s="171"/>
      <c r="AI111" s="171"/>
      <c r="AJ111" s="171"/>
      <c r="AK111" s="171"/>
      <c r="AL111" s="171"/>
      <c r="AM111" s="171"/>
      <c r="AN111" s="171"/>
      <c r="AO111" s="171"/>
      <c r="AP111" s="171"/>
      <c r="AQ111" s="171"/>
      <c r="AR111" s="171"/>
      <c r="AS111" s="171"/>
      <c r="AT111" s="235"/>
      <c r="AU111" s="235"/>
      <c r="AV111" s="235"/>
      <c r="AW111" s="235"/>
    </row>
    <row r="112" spans="1:49" ht="22.5" customHeight="1">
      <c r="A112" s="175" t="s">
        <v>28</v>
      </c>
      <c r="B112" s="169" t="s">
        <v>99</v>
      </c>
      <c r="C112" s="170">
        <v>46204</v>
      </c>
      <c r="D112" s="170">
        <v>46264</v>
      </c>
      <c r="E112" s="200" t="str">
        <f t="shared" si="32"/>
        <v/>
      </c>
      <c r="F112" s="200" t="str">
        <f t="shared" si="32"/>
        <v/>
      </c>
      <c r="G112" s="200" t="str">
        <f t="shared" si="32"/>
        <v/>
      </c>
      <c r="H112" s="200" t="str">
        <f t="shared" si="32"/>
        <v/>
      </c>
      <c r="I112" s="200" t="str">
        <f t="shared" si="32"/>
        <v/>
      </c>
      <c r="J112" s="200" t="str">
        <f t="shared" si="32"/>
        <v/>
      </c>
      <c r="K112" s="200" t="str">
        <f t="shared" si="32"/>
        <v/>
      </c>
      <c r="L112" s="200" t="str">
        <f t="shared" si="32"/>
        <v/>
      </c>
      <c r="M112" s="200" t="str">
        <f t="shared" si="32"/>
        <v/>
      </c>
      <c r="N112" s="200" t="str">
        <f t="shared" si="32"/>
        <v>■</v>
      </c>
      <c r="O112" s="200" t="str">
        <f t="shared" si="33"/>
        <v>■</v>
      </c>
      <c r="P112" s="200" t="str">
        <f t="shared" si="33"/>
        <v>■</v>
      </c>
      <c r="Q112" s="200" t="str">
        <f t="shared" si="33"/>
        <v>■</v>
      </c>
      <c r="R112" s="200" t="str">
        <f t="shared" si="33"/>
        <v>■</v>
      </c>
      <c r="S112" s="200" t="str">
        <f t="shared" si="33"/>
        <v>■</v>
      </c>
      <c r="T112" s="200" t="str">
        <f t="shared" si="33"/>
        <v>■</v>
      </c>
      <c r="U112" s="200" t="str">
        <f t="shared" si="33"/>
        <v>■</v>
      </c>
      <c r="V112" s="179" t="str">
        <f t="shared" si="33"/>
        <v>■</v>
      </c>
      <c r="X112" s="214"/>
      <c r="Y112" s="214"/>
      <c r="Z112" s="170"/>
      <c r="AA112" s="170"/>
      <c r="AB112" s="171"/>
      <c r="AC112" s="171"/>
      <c r="AD112" s="171"/>
      <c r="AE112" s="171"/>
      <c r="AF112" s="171"/>
      <c r="AG112" s="171"/>
      <c r="AH112" s="171"/>
      <c r="AI112" s="171"/>
      <c r="AJ112" s="171"/>
      <c r="AK112" s="171"/>
      <c r="AL112" s="171"/>
      <c r="AM112" s="171"/>
      <c r="AN112" s="171"/>
      <c r="AO112" s="171"/>
      <c r="AP112" s="171"/>
      <c r="AQ112" s="171"/>
      <c r="AR112" s="171"/>
      <c r="AS112" s="171"/>
      <c r="AT112" s="235"/>
      <c r="AU112" s="235"/>
      <c r="AV112" s="235"/>
      <c r="AW112" s="235"/>
    </row>
    <row r="113" spans="1:49" ht="22.5" customHeight="1">
      <c r="A113" s="176" t="s">
        <v>28</v>
      </c>
      <c r="B113" s="172" t="s">
        <v>100</v>
      </c>
      <c r="C113" s="173">
        <v>46204</v>
      </c>
      <c r="D113" s="173">
        <v>46264</v>
      </c>
      <c r="E113" s="174" t="str">
        <f t="shared" si="32"/>
        <v/>
      </c>
      <c r="F113" s="174" t="str">
        <f t="shared" si="32"/>
        <v/>
      </c>
      <c r="G113" s="174" t="str">
        <f t="shared" si="32"/>
        <v/>
      </c>
      <c r="H113" s="174" t="str">
        <f t="shared" si="32"/>
        <v/>
      </c>
      <c r="I113" s="174" t="str">
        <f t="shared" si="32"/>
        <v/>
      </c>
      <c r="J113" s="174" t="str">
        <f t="shared" si="32"/>
        <v/>
      </c>
      <c r="K113" s="174" t="str">
        <f t="shared" si="32"/>
        <v/>
      </c>
      <c r="L113" s="174" t="str">
        <f t="shared" si="32"/>
        <v/>
      </c>
      <c r="M113" s="174" t="str">
        <f t="shared" si="32"/>
        <v/>
      </c>
      <c r="N113" s="174" t="str">
        <f t="shared" si="32"/>
        <v>■</v>
      </c>
      <c r="O113" s="174" t="str">
        <f t="shared" si="33"/>
        <v>■</v>
      </c>
      <c r="P113" s="174" t="str">
        <f t="shared" si="33"/>
        <v>■</v>
      </c>
      <c r="Q113" s="174" t="str">
        <f t="shared" si="33"/>
        <v>■</v>
      </c>
      <c r="R113" s="174" t="str">
        <f t="shared" si="33"/>
        <v>■</v>
      </c>
      <c r="S113" s="174" t="str">
        <f t="shared" si="33"/>
        <v>■</v>
      </c>
      <c r="T113" s="174" t="str">
        <f t="shared" si="33"/>
        <v>■</v>
      </c>
      <c r="U113" s="174" t="str">
        <f t="shared" si="33"/>
        <v>■</v>
      </c>
      <c r="V113" s="180" t="str">
        <f t="shared" si="33"/>
        <v>■</v>
      </c>
      <c r="X113" s="214"/>
      <c r="Y113" s="214"/>
      <c r="Z113" s="170"/>
      <c r="AA113" s="170"/>
      <c r="AB113" s="171"/>
      <c r="AC113" s="171"/>
      <c r="AD113" s="171"/>
      <c r="AE113" s="171"/>
      <c r="AF113" s="171"/>
      <c r="AG113" s="171"/>
      <c r="AH113" s="171"/>
      <c r="AI113" s="171"/>
      <c r="AJ113" s="171"/>
      <c r="AK113" s="171"/>
      <c r="AL113" s="171"/>
      <c r="AM113" s="171"/>
      <c r="AN113" s="171"/>
      <c r="AO113" s="171"/>
      <c r="AP113" s="171"/>
      <c r="AQ113" s="171"/>
      <c r="AR113" s="171"/>
      <c r="AS113" s="171"/>
      <c r="AT113" s="235"/>
      <c r="AU113" s="235"/>
      <c r="AV113" s="235"/>
      <c r="AW113" s="235"/>
    </row>
    <row r="114" spans="1:49" s="208" customFormat="1" ht="22.5" customHeight="1">
      <c r="A114" s="292" t="s">
        <v>256</v>
      </c>
      <c r="B114" s="292"/>
      <c r="C114" s="292"/>
      <c r="D114" s="292"/>
      <c r="E114" s="292"/>
      <c r="F114" s="292"/>
      <c r="G114" s="292"/>
      <c r="H114" s="292"/>
      <c r="I114" s="292"/>
      <c r="J114" s="292"/>
      <c r="K114" s="292"/>
      <c r="L114" s="292"/>
      <c r="M114" s="292"/>
      <c r="N114" s="292"/>
      <c r="O114" s="292"/>
      <c r="P114" s="292"/>
      <c r="Q114" s="292"/>
      <c r="R114" s="292"/>
      <c r="S114" s="292"/>
      <c r="T114" s="292"/>
      <c r="U114" s="292"/>
      <c r="V114" s="292"/>
      <c r="W114" s="209"/>
      <c r="X114" s="294" t="s">
        <v>257</v>
      </c>
      <c r="Y114" s="294"/>
      <c r="Z114" s="294"/>
      <c r="AA114" s="294"/>
      <c r="AB114" s="294"/>
      <c r="AC114" s="294"/>
      <c r="AD114" s="294"/>
      <c r="AE114" s="294"/>
      <c r="AF114" s="294"/>
      <c r="AG114" s="294"/>
      <c r="AH114" s="294"/>
      <c r="AI114" s="294"/>
      <c r="AJ114" s="294"/>
      <c r="AK114" s="294"/>
      <c r="AL114" s="294"/>
      <c r="AM114" s="294"/>
      <c r="AN114" s="294"/>
      <c r="AO114" s="294"/>
      <c r="AP114" s="294"/>
      <c r="AQ114" s="294"/>
      <c r="AR114" s="294"/>
      <c r="AS114" s="294"/>
      <c r="AT114" s="237" t="str" cm="1">
        <f t="array" ref="AT114">_xlfn.LET(_xlpm.mL,A114,_xlpm.aL,B114,_xlpm.mR,X114,_xlpm.aR,Y114,_xlpm.useR,AND(_xlpm.mR&lt;&gt;"",_xlpm.mR&lt;&gt;"Model",LEFT(_xlpm.mR,6)&lt;&gt;"Markt:"),_xlpm.m,IF(_xlpm.useR,_xlpm.mR,_xlpm.mL),_xlpm.a,IF(_xlpm.useR,_xlpm.aR,_xlpm.aL),_xlpm.rng,IF(_xlpm.useR,X$1:X114,A$1:A114),IF(OR(_xlpm.m="",_xlpm.m="Model",LEFT(_xlpm.m,6)="Markt:"),"",_xlfn.LET(_xlpm.mkt,LOOKUP(2,1/(LEFT(_xlpm.rng,6)="Markt:"),_xlpm.rng),_xlpm.mktNameRaw,TRIM(MID(_xlpm.mkt,FIND(":",_xlpm.mkt)+1,99)),_xlpm.mktName,TRIM(SUBSTITUTE(_xlpm.mktNameRaw,"(Survey)","")),_xlfn.XLOOKUP(_xlpm.mktName&amp;"|"&amp;SUBSTITUTE(_xlpm.m," ","")&amp;"|"&amp;_xlpm.a,tblMassnahmen[Key],tblMassnahmen[Kanal],""))))</f>
        <v/>
      </c>
      <c r="AU114" s="237" t="str" cm="1">
        <f t="array" ref="AU114">_xlfn.LET(_xlpm.mL,A114,_xlpm.aL,B114,_xlpm.mR,X114,_xlpm.aR,Y114,_xlpm.useR,AND(_xlpm.mR&lt;&gt;"",_xlpm.mR&lt;&gt;"Model",LEFT(_xlpm.mR,6)&lt;&gt;"Markt:"),_xlpm.m,IF(_xlpm.useR,_xlpm.mR,_xlpm.mL),_xlpm.a,IF(_xlpm.useR,_xlpm.aR,_xlpm.aL),_xlpm.rng,IF(_xlpm.useR,X$1:X114,A$1:A114),IF(OR(_xlpm.m="",_xlpm.m="Model",LEFT(_xlpm.m,6)="Markt:"),"",_xlfn.LET(_xlpm.mkt,LOOKUP(2,1/(LEFT(_xlpm.rng,6)="Markt:"),_xlpm.rng),_xlpm.mktNameRaw,TRIM(MID(_xlpm.mkt,FIND(":",_xlpm.mkt)+1,99)),_xlpm.mktName,TRIM(SUBSTITUTE(_xlpm.mktNameRaw,"(Survey)","")),_xlfn.XLOOKUP(_xlpm.mktName&amp;"|"&amp;SUBSTITUTE(_xlpm.m," ","")&amp;"|"&amp;_xlpm.a,tblMassnahmen[Key],tblMassnahmen[Budget],""))))</f>
        <v/>
      </c>
      <c r="AV114" s="237" t="str" cm="1">
        <f t="array" ref="AV114">_xlfn.LET(_xlpm.mL,A114,_xlpm.aL,B114,_xlpm.mR,X114,_xlpm.aR,Y114,_xlpm.useR,AND(_xlpm.mR&lt;&gt;"",_xlpm.mR&lt;&gt;"Model",LEFT(_xlpm.mR,6)&lt;&gt;"Markt:"),_xlpm.m,IF(_xlpm.useR,_xlpm.mR,_xlpm.mL),_xlpm.a,IF(_xlpm.useR,_xlpm.aR,_xlpm.aL),_xlpm.rng,IF(_xlpm.useR,X$1:X114,A$1:A114),IF(OR(_xlpm.m="",_xlpm.m="Model",LEFT(_xlpm.m,6)="Markt:"),"",_xlfn.LET(_xlpm.mkt,LOOKUP(2,1/(LEFT(_xlpm.rng,6)="Markt:"),_xlpm.rng),_xlpm.mktNameRaw,TRIM(MID(_xlpm.mkt,FIND(":",_xlpm.mkt)+1,99)),_xlpm.mktName,TRIM(SUBSTITUTE(_xlpm.mktNameRaw,"(Survey)","")),_xlfn.XLOOKUP(_xlpm.mktName&amp;"|"&amp;SUBSTITUTE(_xlpm.m," ","")&amp;"|"&amp;_xlpm.a,tblMassnahmen[Key],tblMassnahmen[KPI],""))))</f>
        <v/>
      </c>
      <c r="AW114" s="198"/>
    </row>
    <row r="115" spans="1:49" s="208" customFormat="1" ht="22.5" customHeight="1">
      <c r="A115" s="186"/>
      <c r="B115" s="187"/>
      <c r="C115" s="181"/>
      <c r="D115" s="181"/>
      <c r="E115" s="184"/>
      <c r="F115" s="184"/>
      <c r="G115" s="184"/>
      <c r="H115" s="184"/>
      <c r="I115" s="184"/>
      <c r="J115" s="184"/>
      <c r="K115" s="184"/>
      <c r="L115" s="184"/>
      <c r="M115" s="184"/>
      <c r="N115" s="184"/>
      <c r="O115" s="184"/>
      <c r="P115" s="184"/>
      <c r="Q115" s="184"/>
      <c r="R115" s="184"/>
      <c r="S115" s="184"/>
      <c r="T115" s="184"/>
      <c r="U115" s="184"/>
      <c r="V115" s="185"/>
      <c r="W115" s="209"/>
      <c r="X115" s="219" t="s">
        <v>105</v>
      </c>
      <c r="Y115" s="220" t="s">
        <v>125</v>
      </c>
      <c r="Z115" s="184" t="s">
        <v>95</v>
      </c>
      <c r="AA115" s="184" t="s">
        <v>96</v>
      </c>
      <c r="AB115" s="184" t="s">
        <v>107</v>
      </c>
      <c r="AC115" s="184" t="s">
        <v>108</v>
      </c>
      <c r="AD115" s="184" t="s">
        <v>109</v>
      </c>
      <c r="AE115" s="184" t="s">
        <v>110</v>
      </c>
      <c r="AF115" s="184" t="s">
        <v>111</v>
      </c>
      <c r="AG115" s="184" t="s">
        <v>112</v>
      </c>
      <c r="AH115" s="184" t="s">
        <v>113</v>
      </c>
      <c r="AI115" s="184" t="s">
        <v>114</v>
      </c>
      <c r="AJ115" s="184" t="s">
        <v>115</v>
      </c>
      <c r="AK115" s="184" t="s">
        <v>116</v>
      </c>
      <c r="AL115" s="184" t="s">
        <v>117</v>
      </c>
      <c r="AM115" s="184" t="s">
        <v>118</v>
      </c>
      <c r="AN115" s="184" t="s">
        <v>119</v>
      </c>
      <c r="AO115" s="184" t="s">
        <v>120</v>
      </c>
      <c r="AP115" s="184" t="s">
        <v>121</v>
      </c>
      <c r="AQ115" s="184" t="s">
        <v>122</v>
      </c>
      <c r="AR115" s="184" t="s">
        <v>123</v>
      </c>
      <c r="AS115" s="185" t="s">
        <v>124</v>
      </c>
      <c r="AT115" s="202" t="s">
        <v>258</v>
      </c>
      <c r="AU115" s="201" t="s">
        <v>127</v>
      </c>
      <c r="AV115" s="201" t="s">
        <v>128</v>
      </c>
      <c r="AW115" s="203" t="s">
        <v>129</v>
      </c>
    </row>
    <row r="116" spans="1:49" ht="22.5" customHeight="1">
      <c r="A116" s="175"/>
      <c r="C116" s="170"/>
      <c r="D116" s="170"/>
      <c r="E116" s="199"/>
      <c r="F116" s="199"/>
      <c r="G116" s="199"/>
      <c r="H116" s="199"/>
      <c r="I116" s="199"/>
      <c r="J116" s="199"/>
      <c r="K116" s="199"/>
      <c r="L116" s="199"/>
      <c r="M116" s="199"/>
      <c r="N116" s="199"/>
      <c r="O116" s="199"/>
      <c r="P116" s="199"/>
      <c r="Q116" s="199"/>
      <c r="R116" s="199"/>
      <c r="S116" s="199"/>
      <c r="T116" s="199"/>
      <c r="U116" s="199"/>
      <c r="V116" s="177"/>
      <c r="X116" s="211" t="s">
        <v>133</v>
      </c>
      <c r="Y116" s="214" t="s">
        <v>259</v>
      </c>
      <c r="Z116" s="215">
        <v>46075</v>
      </c>
      <c r="AA116" s="215">
        <v>46075</v>
      </c>
      <c r="AB116" s="199" t="str">
        <f t="shared" ref="AB116:AK119" si="36">IF(AND($Z116&lt;=(AB$3+6),$AA116&gt;=AB$3),"■","")</f>
        <v/>
      </c>
      <c r="AC116" s="199" t="str">
        <f t="shared" si="36"/>
        <v/>
      </c>
      <c r="AD116" s="199" t="str">
        <f t="shared" si="36"/>
        <v/>
      </c>
      <c r="AE116" s="199" t="str">
        <f t="shared" si="36"/>
        <v/>
      </c>
      <c r="AF116" s="199" t="str">
        <f t="shared" si="36"/>
        <v/>
      </c>
      <c r="AG116" s="199" t="str">
        <f t="shared" si="36"/>
        <v/>
      </c>
      <c r="AH116" s="199" t="str">
        <f t="shared" si="36"/>
        <v/>
      </c>
      <c r="AI116" s="199" t="str">
        <f t="shared" si="36"/>
        <v/>
      </c>
      <c r="AJ116" s="199" t="str">
        <f t="shared" si="36"/>
        <v/>
      </c>
      <c r="AK116" s="199" t="str">
        <f t="shared" si="36"/>
        <v/>
      </c>
      <c r="AL116" s="199" t="str">
        <f t="shared" ref="AL116:AS119" si="37">IF(AND($Z116&lt;=(AL$3+6),$AA116&gt;=AL$3),"■","")</f>
        <v/>
      </c>
      <c r="AM116" s="199" t="str">
        <f t="shared" si="37"/>
        <v/>
      </c>
      <c r="AN116" s="199" t="str">
        <f t="shared" si="37"/>
        <v/>
      </c>
      <c r="AO116" s="199" t="str">
        <f t="shared" si="37"/>
        <v/>
      </c>
      <c r="AP116" s="199" t="str">
        <f t="shared" si="37"/>
        <v/>
      </c>
      <c r="AQ116" s="199" t="str">
        <f t="shared" si="37"/>
        <v/>
      </c>
      <c r="AR116" s="199" t="str">
        <f t="shared" si="37"/>
        <v/>
      </c>
      <c r="AS116" s="177" t="str">
        <f t="shared" si="37"/>
        <v/>
      </c>
      <c r="AT116" s="204" t="s">
        <v>206</v>
      </c>
      <c r="AU116" s="235" t="s">
        <v>260</v>
      </c>
      <c r="AV116" s="235" t="s">
        <v>261</v>
      </c>
      <c r="AW116" s="205" t="s">
        <v>262</v>
      </c>
    </row>
    <row r="117" spans="1:49" ht="22.5" customHeight="1">
      <c r="A117" s="175"/>
      <c r="C117" s="170"/>
      <c r="D117" s="170"/>
      <c r="E117" s="199"/>
      <c r="F117" s="199"/>
      <c r="G117" s="199"/>
      <c r="H117" s="199"/>
      <c r="I117" s="199"/>
      <c r="J117" s="199"/>
      <c r="K117" s="199"/>
      <c r="L117" s="199"/>
      <c r="M117" s="199"/>
      <c r="N117" s="199"/>
      <c r="O117" s="199"/>
      <c r="P117" s="199"/>
      <c r="Q117" s="199"/>
      <c r="R117" s="199"/>
      <c r="S117" s="199"/>
      <c r="T117" s="199"/>
      <c r="U117" s="199"/>
      <c r="V117" s="177"/>
      <c r="X117" s="211" t="s">
        <v>28</v>
      </c>
      <c r="Y117" s="214" t="s">
        <v>263</v>
      </c>
      <c r="Z117" s="217">
        <v>46146</v>
      </c>
      <c r="AA117" s="217">
        <v>46172</v>
      </c>
      <c r="AB117" s="200" t="str">
        <f t="shared" si="36"/>
        <v/>
      </c>
      <c r="AC117" s="200" t="str">
        <f t="shared" si="36"/>
        <v>■</v>
      </c>
      <c r="AD117" s="200" t="str">
        <f t="shared" si="36"/>
        <v>■</v>
      </c>
      <c r="AE117" s="200" t="str">
        <f t="shared" si="36"/>
        <v>■</v>
      </c>
      <c r="AF117" s="200" t="str">
        <f t="shared" si="36"/>
        <v>■</v>
      </c>
      <c r="AG117" s="200" t="str">
        <f t="shared" si="36"/>
        <v/>
      </c>
      <c r="AH117" s="200" t="str">
        <f t="shared" si="36"/>
        <v/>
      </c>
      <c r="AI117" s="200" t="str">
        <f t="shared" si="36"/>
        <v/>
      </c>
      <c r="AJ117" s="200" t="str">
        <f t="shared" si="36"/>
        <v/>
      </c>
      <c r="AK117" s="200" t="str">
        <f t="shared" si="36"/>
        <v/>
      </c>
      <c r="AL117" s="200" t="str">
        <f t="shared" si="37"/>
        <v/>
      </c>
      <c r="AM117" s="200" t="str">
        <f t="shared" si="37"/>
        <v/>
      </c>
      <c r="AN117" s="200" t="str">
        <f t="shared" si="37"/>
        <v/>
      </c>
      <c r="AO117" s="200" t="str">
        <f t="shared" si="37"/>
        <v/>
      </c>
      <c r="AP117" s="200" t="str">
        <f t="shared" si="37"/>
        <v/>
      </c>
      <c r="AQ117" s="200" t="str">
        <f t="shared" si="37"/>
        <v/>
      </c>
      <c r="AR117" s="200" t="str">
        <f t="shared" si="37"/>
        <v/>
      </c>
      <c r="AS117" s="179" t="str">
        <f t="shared" si="37"/>
        <v/>
      </c>
      <c r="AT117" s="204" t="s">
        <v>51</v>
      </c>
      <c r="AU117" s="235" t="s">
        <v>264</v>
      </c>
      <c r="AV117" s="235" t="s">
        <v>265</v>
      </c>
      <c r="AW117" s="205" t="s">
        <v>262</v>
      </c>
    </row>
    <row r="118" spans="1:49" ht="22.5" customHeight="1">
      <c r="A118" s="175"/>
      <c r="C118" s="170"/>
      <c r="D118" s="170"/>
      <c r="E118" s="199"/>
      <c r="F118" s="199"/>
      <c r="G118" s="199"/>
      <c r="H118" s="199"/>
      <c r="I118" s="199"/>
      <c r="J118" s="199"/>
      <c r="K118" s="199"/>
      <c r="L118" s="199"/>
      <c r="M118" s="199"/>
      <c r="N118" s="199"/>
      <c r="O118" s="199"/>
      <c r="P118" s="199"/>
      <c r="Q118" s="199"/>
      <c r="R118" s="199"/>
      <c r="S118" s="199"/>
      <c r="T118" s="199"/>
      <c r="U118" s="199"/>
      <c r="V118" s="177"/>
      <c r="X118" s="211" t="s">
        <v>28</v>
      </c>
      <c r="Y118" s="214" t="s">
        <v>266</v>
      </c>
      <c r="Z118" s="217">
        <v>46203</v>
      </c>
      <c r="AA118" s="217">
        <v>46233</v>
      </c>
      <c r="AB118" s="200" t="str">
        <f t="shared" si="36"/>
        <v/>
      </c>
      <c r="AC118" s="200" t="str">
        <f t="shared" si="36"/>
        <v/>
      </c>
      <c r="AD118" s="200" t="str">
        <f t="shared" si="36"/>
        <v/>
      </c>
      <c r="AE118" s="200" t="str">
        <f t="shared" si="36"/>
        <v/>
      </c>
      <c r="AF118" s="200" t="str">
        <f t="shared" si="36"/>
        <v/>
      </c>
      <c r="AG118" s="200" t="str">
        <f t="shared" si="36"/>
        <v/>
      </c>
      <c r="AH118" s="200" t="str">
        <f t="shared" si="36"/>
        <v/>
      </c>
      <c r="AI118" s="200" t="str">
        <f t="shared" si="36"/>
        <v/>
      </c>
      <c r="AJ118" s="200" t="str">
        <f t="shared" si="36"/>
        <v/>
      </c>
      <c r="AK118" s="200" t="str">
        <f t="shared" si="36"/>
        <v>■</v>
      </c>
      <c r="AL118" s="200" t="str">
        <f t="shared" si="37"/>
        <v>■</v>
      </c>
      <c r="AM118" s="200" t="str">
        <f t="shared" si="37"/>
        <v>■</v>
      </c>
      <c r="AN118" s="200" t="str">
        <f t="shared" si="37"/>
        <v>■</v>
      </c>
      <c r="AO118" s="200" t="str">
        <f t="shared" si="37"/>
        <v>■</v>
      </c>
      <c r="AP118" s="200" t="str">
        <f t="shared" si="37"/>
        <v/>
      </c>
      <c r="AQ118" s="200" t="str">
        <f t="shared" si="37"/>
        <v/>
      </c>
      <c r="AR118" s="200" t="str">
        <f t="shared" si="37"/>
        <v/>
      </c>
      <c r="AS118" s="179" t="str">
        <f t="shared" si="37"/>
        <v/>
      </c>
      <c r="AT118" s="204" t="s">
        <v>206</v>
      </c>
      <c r="AU118" s="235" t="s">
        <v>242</v>
      </c>
      <c r="AV118" s="235" t="s">
        <v>267</v>
      </c>
      <c r="AW118" s="205" t="s">
        <v>262</v>
      </c>
    </row>
    <row r="119" spans="1:49" ht="22.5" customHeight="1">
      <c r="A119" s="175"/>
      <c r="C119" s="170"/>
      <c r="D119" s="170"/>
      <c r="E119" s="200"/>
      <c r="F119" s="200"/>
      <c r="G119" s="200"/>
      <c r="H119" s="200"/>
      <c r="I119" s="200"/>
      <c r="J119" s="200"/>
      <c r="K119" s="200"/>
      <c r="L119" s="200"/>
      <c r="M119" s="200"/>
      <c r="N119" s="200"/>
      <c r="O119" s="200"/>
      <c r="P119" s="200"/>
      <c r="Q119" s="200"/>
      <c r="R119" s="200"/>
      <c r="S119" s="200"/>
      <c r="T119" s="200"/>
      <c r="U119" s="200"/>
      <c r="V119" s="179"/>
      <c r="X119" s="212" t="s">
        <v>28</v>
      </c>
      <c r="Y119" s="213" t="s">
        <v>268</v>
      </c>
      <c r="Z119" s="218">
        <v>46173</v>
      </c>
      <c r="AA119" s="218">
        <v>46187</v>
      </c>
      <c r="AB119" s="174" t="str">
        <f t="shared" si="36"/>
        <v/>
      </c>
      <c r="AC119" s="174" t="str">
        <f t="shared" si="36"/>
        <v/>
      </c>
      <c r="AD119" s="174" t="str">
        <f t="shared" si="36"/>
        <v/>
      </c>
      <c r="AE119" s="174" t="str">
        <f t="shared" si="36"/>
        <v/>
      </c>
      <c r="AF119" s="174" t="str">
        <f t="shared" si="36"/>
        <v>■</v>
      </c>
      <c r="AG119" s="174" t="str">
        <f t="shared" si="36"/>
        <v>■</v>
      </c>
      <c r="AH119" s="174" t="str">
        <f t="shared" si="36"/>
        <v>■</v>
      </c>
      <c r="AI119" s="174" t="str">
        <f t="shared" si="36"/>
        <v/>
      </c>
      <c r="AJ119" s="174" t="str">
        <f t="shared" si="36"/>
        <v/>
      </c>
      <c r="AK119" s="174" t="str">
        <f t="shared" si="36"/>
        <v/>
      </c>
      <c r="AL119" s="174" t="str">
        <f t="shared" si="37"/>
        <v/>
      </c>
      <c r="AM119" s="174" t="str">
        <f t="shared" si="37"/>
        <v/>
      </c>
      <c r="AN119" s="174" t="str">
        <f t="shared" si="37"/>
        <v/>
      </c>
      <c r="AO119" s="174" t="str">
        <f t="shared" si="37"/>
        <v/>
      </c>
      <c r="AP119" s="174" t="str">
        <f t="shared" si="37"/>
        <v/>
      </c>
      <c r="AQ119" s="174" t="str">
        <f t="shared" si="37"/>
        <v/>
      </c>
      <c r="AR119" s="174" t="str">
        <f t="shared" si="37"/>
        <v/>
      </c>
      <c r="AS119" s="180" t="str">
        <f t="shared" si="37"/>
        <v/>
      </c>
      <c r="AT119" s="206" t="s">
        <v>269</v>
      </c>
      <c r="AU119" s="207" t="s">
        <v>270</v>
      </c>
      <c r="AV119" s="207" t="s">
        <v>271</v>
      </c>
      <c r="AW119" s="239" t="s">
        <v>262</v>
      </c>
    </row>
    <row r="120" spans="1:49" ht="22.5" customHeight="1">
      <c r="A120" s="175"/>
      <c r="C120" s="170"/>
      <c r="D120" s="170"/>
      <c r="E120" s="200"/>
      <c r="F120" s="200"/>
      <c r="G120" s="200"/>
      <c r="H120" s="200"/>
      <c r="I120" s="200"/>
      <c r="J120" s="200"/>
      <c r="K120" s="200"/>
      <c r="L120" s="200"/>
      <c r="M120" s="200"/>
      <c r="N120" s="200"/>
      <c r="O120" s="200"/>
      <c r="P120" s="200"/>
      <c r="Q120" s="200"/>
      <c r="R120" s="200"/>
      <c r="S120" s="200"/>
      <c r="T120" s="200"/>
      <c r="U120" s="200"/>
      <c r="V120" s="179"/>
      <c r="X120" s="214"/>
      <c r="Y120" s="214"/>
      <c r="Z120" s="170"/>
      <c r="AA120" s="170"/>
      <c r="AB120" s="171"/>
      <c r="AC120" s="171"/>
      <c r="AD120" s="171"/>
      <c r="AE120" s="171"/>
      <c r="AF120" s="171"/>
      <c r="AG120" s="171"/>
      <c r="AH120" s="171"/>
      <c r="AI120" s="171"/>
      <c r="AJ120" s="171"/>
      <c r="AK120" s="171"/>
      <c r="AL120" s="171"/>
      <c r="AM120" s="171"/>
      <c r="AN120" s="171"/>
      <c r="AO120" s="171"/>
      <c r="AP120" s="171"/>
      <c r="AQ120" s="171"/>
      <c r="AR120" s="171"/>
      <c r="AS120" s="171"/>
      <c r="AT120" s="235"/>
      <c r="AU120" s="235"/>
      <c r="AV120" s="235"/>
      <c r="AW120" s="235"/>
    </row>
    <row r="121" spans="1:49" ht="22.5" customHeight="1">
      <c r="A121" s="176"/>
      <c r="B121" s="172"/>
      <c r="C121" s="173"/>
      <c r="D121" s="173"/>
      <c r="E121" s="174"/>
      <c r="F121" s="174"/>
      <c r="G121" s="174"/>
      <c r="H121" s="174"/>
      <c r="I121" s="174"/>
      <c r="J121" s="174"/>
      <c r="K121" s="174"/>
      <c r="L121" s="174"/>
      <c r="M121" s="174"/>
      <c r="N121" s="174"/>
      <c r="O121" s="174"/>
      <c r="P121" s="174"/>
      <c r="Q121" s="174"/>
      <c r="R121" s="174"/>
      <c r="S121" s="174"/>
      <c r="T121" s="174"/>
      <c r="U121" s="174"/>
      <c r="V121" s="180"/>
      <c r="X121" s="214"/>
      <c r="Y121" s="214"/>
      <c r="Z121" s="170"/>
      <c r="AA121" s="170"/>
      <c r="AB121" s="171"/>
      <c r="AC121" s="171"/>
      <c r="AD121" s="171"/>
      <c r="AE121" s="171"/>
      <c r="AF121" s="171"/>
      <c r="AG121" s="171"/>
      <c r="AH121" s="171"/>
      <c r="AI121" s="171"/>
      <c r="AJ121" s="171"/>
      <c r="AK121" s="171"/>
      <c r="AL121" s="171"/>
      <c r="AM121" s="171"/>
      <c r="AN121" s="171"/>
      <c r="AO121" s="171"/>
      <c r="AP121" s="171"/>
      <c r="AQ121" s="171"/>
      <c r="AR121" s="171"/>
      <c r="AS121" s="171"/>
      <c r="AT121" s="235"/>
      <c r="AU121" s="235"/>
      <c r="AV121" s="235"/>
      <c r="AW121" s="235"/>
    </row>
    <row r="122" spans="1:49" s="208" customFormat="1" ht="22.5" customHeight="1">
      <c r="A122" s="292" t="s">
        <v>272</v>
      </c>
      <c r="B122" s="292"/>
      <c r="C122" s="292"/>
      <c r="D122" s="292"/>
      <c r="E122" s="292"/>
      <c r="F122" s="292"/>
      <c r="G122" s="292"/>
      <c r="H122" s="292"/>
      <c r="I122" s="292"/>
      <c r="J122" s="292"/>
      <c r="K122" s="292"/>
      <c r="L122" s="292"/>
      <c r="M122" s="292"/>
      <c r="N122" s="292"/>
      <c r="O122" s="292"/>
      <c r="P122" s="292"/>
      <c r="Q122" s="292"/>
      <c r="R122" s="292"/>
      <c r="S122" s="292"/>
      <c r="T122" s="292"/>
      <c r="U122" s="292"/>
      <c r="V122" s="292"/>
      <c r="W122" s="209"/>
      <c r="X122" s="294" t="s">
        <v>273</v>
      </c>
      <c r="Y122" s="294"/>
      <c r="Z122" s="294"/>
      <c r="AA122" s="294"/>
      <c r="AB122" s="294"/>
      <c r="AC122" s="294"/>
      <c r="AD122" s="294"/>
      <c r="AE122" s="294"/>
      <c r="AF122" s="294"/>
      <c r="AG122" s="294"/>
      <c r="AH122" s="294"/>
      <c r="AI122" s="294"/>
      <c r="AJ122" s="294"/>
      <c r="AK122" s="294"/>
      <c r="AL122" s="294"/>
      <c r="AM122" s="294"/>
      <c r="AN122" s="294"/>
      <c r="AO122" s="294"/>
      <c r="AP122" s="294"/>
      <c r="AQ122" s="294"/>
      <c r="AR122" s="294"/>
      <c r="AS122" s="294"/>
      <c r="AT122" s="237" t="str" cm="1">
        <f t="array" ref="AT122">_xlfn.LET(_xlpm.mL,A122,_xlpm.aL,B122,_xlpm.mR,X122,_xlpm.aR,Y122,_xlpm.useR,AND(_xlpm.mR&lt;&gt;"",_xlpm.mR&lt;&gt;"Model",LEFT(_xlpm.mR,6)&lt;&gt;"Markt:"),_xlpm.m,IF(_xlpm.useR,_xlpm.mR,_xlpm.mL),_xlpm.a,IF(_xlpm.useR,_xlpm.aR,_xlpm.aL),_xlpm.rng,IF(_xlpm.useR,X$1:X122,A$1:A122),IF(OR(_xlpm.m="",_xlpm.m="Model",LEFT(_xlpm.m,6)="Markt:"),"",_xlfn.LET(_xlpm.mkt,LOOKUP(2,1/(LEFT(_xlpm.rng,6)="Markt:"),_xlpm.rng),_xlpm.mktNameRaw,TRIM(MID(_xlpm.mkt,FIND(":",_xlpm.mkt)+1,99)),_xlpm.mktName,TRIM(SUBSTITUTE(_xlpm.mktNameRaw,"(Survey)","")),_xlfn.XLOOKUP(_xlpm.mktName&amp;"|"&amp;SUBSTITUTE(_xlpm.m," ","")&amp;"|"&amp;_xlpm.a,tblMassnahmen[Key],tblMassnahmen[Kanal],""))))</f>
        <v/>
      </c>
      <c r="AU122" s="237" t="str" cm="1">
        <f t="array" ref="AU122">_xlfn.LET(_xlpm.mL,A122,_xlpm.aL,B122,_xlpm.mR,X122,_xlpm.aR,Y122,_xlpm.useR,AND(_xlpm.mR&lt;&gt;"",_xlpm.mR&lt;&gt;"Model",LEFT(_xlpm.mR,6)&lt;&gt;"Markt:"),_xlpm.m,IF(_xlpm.useR,_xlpm.mR,_xlpm.mL),_xlpm.a,IF(_xlpm.useR,_xlpm.aR,_xlpm.aL),_xlpm.rng,IF(_xlpm.useR,X$1:X122,A$1:A122),IF(OR(_xlpm.m="",_xlpm.m="Model",LEFT(_xlpm.m,6)="Markt:"),"",_xlfn.LET(_xlpm.mkt,LOOKUP(2,1/(LEFT(_xlpm.rng,6)="Markt:"),_xlpm.rng),_xlpm.mktNameRaw,TRIM(MID(_xlpm.mkt,FIND(":",_xlpm.mkt)+1,99)),_xlpm.mktName,TRIM(SUBSTITUTE(_xlpm.mktNameRaw,"(Survey)","")),_xlfn.XLOOKUP(_xlpm.mktName&amp;"|"&amp;SUBSTITUTE(_xlpm.m," ","")&amp;"|"&amp;_xlpm.a,tblMassnahmen[Key],tblMassnahmen[Budget],""))))</f>
        <v/>
      </c>
      <c r="AV122" s="237" t="str" cm="1">
        <f t="array" ref="AV122">_xlfn.LET(_xlpm.mL,A122,_xlpm.aL,B122,_xlpm.mR,X122,_xlpm.aR,Y122,_xlpm.useR,AND(_xlpm.mR&lt;&gt;"",_xlpm.mR&lt;&gt;"Model",LEFT(_xlpm.mR,6)&lt;&gt;"Markt:"),_xlpm.m,IF(_xlpm.useR,_xlpm.mR,_xlpm.mL),_xlpm.a,IF(_xlpm.useR,_xlpm.aR,_xlpm.aL),_xlpm.rng,IF(_xlpm.useR,X$1:X122,A$1:A122),IF(OR(_xlpm.m="",_xlpm.m="Model",LEFT(_xlpm.m,6)="Markt:"),"",_xlfn.LET(_xlpm.mkt,LOOKUP(2,1/(LEFT(_xlpm.rng,6)="Markt:"),_xlpm.rng),_xlpm.mktNameRaw,TRIM(MID(_xlpm.mkt,FIND(":",_xlpm.mkt)+1,99)),_xlpm.mktName,TRIM(SUBSTITUTE(_xlpm.mktNameRaw,"(Survey)","")),_xlfn.XLOOKUP(_xlpm.mktName&amp;"|"&amp;SUBSTITUTE(_xlpm.m," ","")&amp;"|"&amp;_xlpm.a,tblMassnahmen[Key],tblMassnahmen[KPI],""))))</f>
        <v/>
      </c>
      <c r="AW122" s="198"/>
    </row>
    <row r="123" spans="1:49" s="208" customFormat="1" ht="22.5" customHeight="1">
      <c r="A123" s="186" t="s">
        <v>105</v>
      </c>
      <c r="B123" s="187" t="s">
        <v>106</v>
      </c>
      <c r="C123" s="181" t="s">
        <v>95</v>
      </c>
      <c r="D123" s="181" t="s">
        <v>96</v>
      </c>
      <c r="E123" s="184" t="s">
        <v>107</v>
      </c>
      <c r="F123" s="184" t="s">
        <v>108</v>
      </c>
      <c r="G123" s="184" t="s">
        <v>109</v>
      </c>
      <c r="H123" s="184" t="s">
        <v>110</v>
      </c>
      <c r="I123" s="184" t="s">
        <v>111</v>
      </c>
      <c r="J123" s="184" t="s">
        <v>112</v>
      </c>
      <c r="K123" s="184" t="s">
        <v>113</v>
      </c>
      <c r="L123" s="184" t="s">
        <v>114</v>
      </c>
      <c r="M123" s="184" t="s">
        <v>115</v>
      </c>
      <c r="N123" s="184" t="s">
        <v>116</v>
      </c>
      <c r="O123" s="184" t="s">
        <v>117</v>
      </c>
      <c r="P123" s="184" t="s">
        <v>118</v>
      </c>
      <c r="Q123" s="184" t="s">
        <v>119</v>
      </c>
      <c r="R123" s="184" t="s">
        <v>120</v>
      </c>
      <c r="S123" s="184" t="s">
        <v>121</v>
      </c>
      <c r="T123" s="184" t="s">
        <v>122</v>
      </c>
      <c r="U123" s="184" t="s">
        <v>123</v>
      </c>
      <c r="V123" s="185" t="s">
        <v>124</v>
      </c>
      <c r="W123" s="209"/>
      <c r="X123" s="219" t="s">
        <v>105</v>
      </c>
      <c r="Y123" s="220" t="s">
        <v>125</v>
      </c>
      <c r="Z123" s="184" t="s">
        <v>95</v>
      </c>
      <c r="AA123" s="184" t="s">
        <v>96</v>
      </c>
      <c r="AB123" s="184" t="s">
        <v>107</v>
      </c>
      <c r="AC123" s="184" t="s">
        <v>108</v>
      </c>
      <c r="AD123" s="184" t="s">
        <v>109</v>
      </c>
      <c r="AE123" s="184" t="s">
        <v>110</v>
      </c>
      <c r="AF123" s="184" t="s">
        <v>111</v>
      </c>
      <c r="AG123" s="184" t="s">
        <v>112</v>
      </c>
      <c r="AH123" s="184" t="s">
        <v>113</v>
      </c>
      <c r="AI123" s="184" t="s">
        <v>114</v>
      </c>
      <c r="AJ123" s="184" t="s">
        <v>115</v>
      </c>
      <c r="AK123" s="184" t="s">
        <v>116</v>
      </c>
      <c r="AL123" s="184" t="s">
        <v>117</v>
      </c>
      <c r="AM123" s="184" t="s">
        <v>118</v>
      </c>
      <c r="AN123" s="184" t="s">
        <v>119</v>
      </c>
      <c r="AO123" s="184" t="s">
        <v>120</v>
      </c>
      <c r="AP123" s="184" t="s">
        <v>121</v>
      </c>
      <c r="AQ123" s="184" t="s">
        <v>122</v>
      </c>
      <c r="AR123" s="184" t="s">
        <v>123</v>
      </c>
      <c r="AS123" s="185" t="s">
        <v>124</v>
      </c>
      <c r="AT123" s="202" t="s">
        <v>126</v>
      </c>
      <c r="AU123" s="201" t="s">
        <v>127</v>
      </c>
      <c r="AV123" s="201" t="s">
        <v>128</v>
      </c>
      <c r="AW123" s="203" t="s">
        <v>129</v>
      </c>
    </row>
    <row r="124" spans="1:49" ht="22.5" customHeight="1">
      <c r="A124" s="175" t="s">
        <v>20</v>
      </c>
      <c r="B124" s="169" t="s">
        <v>97</v>
      </c>
      <c r="C124" s="170">
        <v>46143</v>
      </c>
      <c r="D124" s="170">
        <v>46264</v>
      </c>
      <c r="E124" s="199" t="str">
        <f t="shared" ref="E124:N129" si="38">IFERROR(IF(OR($A124="",$A124="Model",LEFT($A124,5)="Markt"),"",IF(AND($C124&lt;=E$3+6,$D124&gt;=E$3),"■","")),"")</f>
        <v>■</v>
      </c>
      <c r="F124" s="199" t="str">
        <f t="shared" si="38"/>
        <v>■</v>
      </c>
      <c r="G124" s="199" t="str">
        <f t="shared" si="38"/>
        <v>■</v>
      </c>
      <c r="H124" s="199" t="str">
        <f t="shared" si="38"/>
        <v>■</v>
      </c>
      <c r="I124" s="199" t="str">
        <f t="shared" si="38"/>
        <v>■</v>
      </c>
      <c r="J124" s="199" t="str">
        <f t="shared" si="38"/>
        <v>■</v>
      </c>
      <c r="K124" s="199" t="str">
        <f t="shared" si="38"/>
        <v>■</v>
      </c>
      <c r="L124" s="199" t="str">
        <f t="shared" si="38"/>
        <v>■</v>
      </c>
      <c r="M124" s="199" t="str">
        <f t="shared" si="38"/>
        <v>■</v>
      </c>
      <c r="N124" s="199" t="str">
        <f t="shared" si="38"/>
        <v>■</v>
      </c>
      <c r="O124" s="199" t="str">
        <f t="shared" ref="O124:V129" si="39">IFERROR(IF(OR($A124="",$A124="Model",LEFT($A124,5)="Markt"),"",IF(AND($C124&lt;=O$3+6,$D124&gt;=O$3),"■","")),"")</f>
        <v>■</v>
      </c>
      <c r="P124" s="199" t="str">
        <f t="shared" si="39"/>
        <v>■</v>
      </c>
      <c r="Q124" s="199" t="str">
        <f t="shared" si="39"/>
        <v>■</v>
      </c>
      <c r="R124" s="199" t="str">
        <f t="shared" si="39"/>
        <v>■</v>
      </c>
      <c r="S124" s="199" t="str">
        <f t="shared" si="39"/>
        <v>■</v>
      </c>
      <c r="T124" s="199" t="str">
        <f t="shared" si="39"/>
        <v>■</v>
      </c>
      <c r="U124" s="199" t="str">
        <f t="shared" si="39"/>
        <v>■</v>
      </c>
      <c r="V124" s="177" t="str">
        <f t="shared" si="39"/>
        <v>■</v>
      </c>
      <c r="X124" s="211" t="s">
        <v>133</v>
      </c>
      <c r="Y124" s="214" t="s">
        <v>274</v>
      </c>
      <c r="Z124" s="215">
        <v>46271</v>
      </c>
      <c r="AA124" s="215">
        <v>46299</v>
      </c>
      <c r="AB124" s="199" t="str">
        <f t="shared" ref="AB124:AK128" si="40">IF(AND($Z124&lt;=(AB$3+6),$AA124&gt;=AB$3),"■","")</f>
        <v/>
      </c>
      <c r="AC124" s="199" t="str">
        <f t="shared" si="40"/>
        <v/>
      </c>
      <c r="AD124" s="199" t="str">
        <f t="shared" si="40"/>
        <v/>
      </c>
      <c r="AE124" s="199" t="str">
        <f t="shared" si="40"/>
        <v/>
      </c>
      <c r="AF124" s="199" t="str">
        <f t="shared" si="40"/>
        <v/>
      </c>
      <c r="AG124" s="199" t="str">
        <f t="shared" si="40"/>
        <v/>
      </c>
      <c r="AH124" s="199" t="str">
        <f t="shared" si="40"/>
        <v/>
      </c>
      <c r="AI124" s="199" t="str">
        <f t="shared" si="40"/>
        <v/>
      </c>
      <c r="AJ124" s="199" t="str">
        <f t="shared" si="40"/>
        <v/>
      </c>
      <c r="AK124" s="199" t="str">
        <f t="shared" si="40"/>
        <v/>
      </c>
      <c r="AL124" s="199" t="str">
        <f t="shared" ref="AL124:AS128" si="41">IF(AND($Z124&lt;=(AL$3+6),$AA124&gt;=AL$3),"■","")</f>
        <v/>
      </c>
      <c r="AM124" s="199" t="str">
        <f t="shared" si="41"/>
        <v/>
      </c>
      <c r="AN124" s="199" t="str">
        <f t="shared" si="41"/>
        <v/>
      </c>
      <c r="AO124" s="199" t="str">
        <f t="shared" si="41"/>
        <v/>
      </c>
      <c r="AP124" s="199" t="str">
        <f t="shared" si="41"/>
        <v/>
      </c>
      <c r="AQ124" s="199" t="str">
        <f t="shared" si="41"/>
        <v/>
      </c>
      <c r="AR124" s="199" t="str">
        <f t="shared" si="41"/>
        <v/>
      </c>
      <c r="AS124" s="177" t="str">
        <f t="shared" si="41"/>
        <v/>
      </c>
      <c r="AT124" s="204" t="s">
        <v>275</v>
      </c>
      <c r="AU124" s="235" t="s">
        <v>276</v>
      </c>
      <c r="AV124" s="235" t="s">
        <v>277</v>
      </c>
      <c r="AW124" s="205" t="s">
        <v>278</v>
      </c>
    </row>
    <row r="125" spans="1:49" ht="22.5" customHeight="1">
      <c r="A125" s="175" t="s">
        <v>20</v>
      </c>
      <c r="B125" s="169" t="s">
        <v>99</v>
      </c>
      <c r="C125" s="170">
        <v>46143</v>
      </c>
      <c r="D125" s="170">
        <v>46264</v>
      </c>
      <c r="E125" s="199" t="str">
        <f t="shared" si="38"/>
        <v>■</v>
      </c>
      <c r="F125" s="199" t="str">
        <f t="shared" si="38"/>
        <v>■</v>
      </c>
      <c r="G125" s="199" t="str">
        <f t="shared" si="38"/>
        <v>■</v>
      </c>
      <c r="H125" s="199" t="str">
        <f t="shared" si="38"/>
        <v>■</v>
      </c>
      <c r="I125" s="199" t="str">
        <f t="shared" si="38"/>
        <v>■</v>
      </c>
      <c r="J125" s="199" t="str">
        <f t="shared" si="38"/>
        <v>■</v>
      </c>
      <c r="K125" s="199" t="str">
        <f t="shared" si="38"/>
        <v>■</v>
      </c>
      <c r="L125" s="199" t="str">
        <f t="shared" si="38"/>
        <v>■</v>
      </c>
      <c r="M125" s="199" t="str">
        <f t="shared" si="38"/>
        <v>■</v>
      </c>
      <c r="N125" s="199" t="str">
        <f t="shared" si="38"/>
        <v>■</v>
      </c>
      <c r="O125" s="199" t="str">
        <f t="shared" si="39"/>
        <v>■</v>
      </c>
      <c r="P125" s="199" t="str">
        <f t="shared" si="39"/>
        <v>■</v>
      </c>
      <c r="Q125" s="199" t="str">
        <f t="shared" si="39"/>
        <v>■</v>
      </c>
      <c r="R125" s="199" t="str">
        <f t="shared" si="39"/>
        <v>■</v>
      </c>
      <c r="S125" s="199" t="str">
        <f t="shared" si="39"/>
        <v>■</v>
      </c>
      <c r="T125" s="199" t="str">
        <f t="shared" si="39"/>
        <v>■</v>
      </c>
      <c r="U125" s="199" t="str">
        <f t="shared" si="39"/>
        <v>■</v>
      </c>
      <c r="V125" s="177" t="str">
        <f t="shared" si="39"/>
        <v>■</v>
      </c>
      <c r="X125" s="211" t="s">
        <v>133</v>
      </c>
      <c r="Y125" s="214" t="s">
        <v>279</v>
      </c>
      <c r="Z125" s="215">
        <v>46022</v>
      </c>
      <c r="AA125" s="215">
        <v>46386</v>
      </c>
      <c r="AB125" s="199" t="str">
        <f t="shared" si="40"/>
        <v>■</v>
      </c>
      <c r="AC125" s="199" t="str">
        <f t="shared" si="40"/>
        <v>■</v>
      </c>
      <c r="AD125" s="199" t="str">
        <f t="shared" si="40"/>
        <v>■</v>
      </c>
      <c r="AE125" s="199" t="str">
        <f t="shared" si="40"/>
        <v>■</v>
      </c>
      <c r="AF125" s="199" t="str">
        <f t="shared" si="40"/>
        <v>■</v>
      </c>
      <c r="AG125" s="199" t="str">
        <f t="shared" si="40"/>
        <v>■</v>
      </c>
      <c r="AH125" s="199" t="str">
        <f t="shared" si="40"/>
        <v>■</v>
      </c>
      <c r="AI125" s="199" t="str">
        <f t="shared" si="40"/>
        <v>■</v>
      </c>
      <c r="AJ125" s="199" t="str">
        <f t="shared" si="40"/>
        <v>■</v>
      </c>
      <c r="AK125" s="199" t="str">
        <f t="shared" si="40"/>
        <v>■</v>
      </c>
      <c r="AL125" s="199" t="str">
        <f t="shared" si="41"/>
        <v>■</v>
      </c>
      <c r="AM125" s="199" t="str">
        <f t="shared" si="41"/>
        <v>■</v>
      </c>
      <c r="AN125" s="199" t="str">
        <f t="shared" si="41"/>
        <v>■</v>
      </c>
      <c r="AO125" s="199" t="str">
        <f t="shared" si="41"/>
        <v>■</v>
      </c>
      <c r="AP125" s="199" t="str">
        <f t="shared" si="41"/>
        <v>■</v>
      </c>
      <c r="AQ125" s="199" t="str">
        <f t="shared" si="41"/>
        <v>■</v>
      </c>
      <c r="AR125" s="199" t="str">
        <f t="shared" si="41"/>
        <v>■</v>
      </c>
      <c r="AS125" s="177" t="str">
        <f t="shared" si="41"/>
        <v>■</v>
      </c>
      <c r="AT125" s="204" t="s">
        <v>49</v>
      </c>
      <c r="AU125" s="235" t="s">
        <v>280</v>
      </c>
      <c r="AV125" s="235" t="s">
        <v>281</v>
      </c>
      <c r="AW125" s="205" t="s">
        <v>282</v>
      </c>
    </row>
    <row r="126" spans="1:49" ht="22.5" customHeight="1">
      <c r="A126" s="175" t="s">
        <v>20</v>
      </c>
      <c r="B126" s="169" t="s">
        <v>100</v>
      </c>
      <c r="C126" s="170">
        <v>46204</v>
      </c>
      <c r="D126" s="170">
        <v>46264</v>
      </c>
      <c r="E126" s="199" t="str">
        <f t="shared" si="38"/>
        <v/>
      </c>
      <c r="F126" s="199" t="str">
        <f t="shared" si="38"/>
        <v/>
      </c>
      <c r="G126" s="199" t="str">
        <f t="shared" si="38"/>
        <v/>
      </c>
      <c r="H126" s="199" t="str">
        <f t="shared" si="38"/>
        <v/>
      </c>
      <c r="I126" s="199" t="str">
        <f t="shared" si="38"/>
        <v/>
      </c>
      <c r="J126" s="199" t="str">
        <f t="shared" si="38"/>
        <v/>
      </c>
      <c r="K126" s="199" t="str">
        <f t="shared" si="38"/>
        <v/>
      </c>
      <c r="L126" s="199" t="str">
        <f t="shared" si="38"/>
        <v/>
      </c>
      <c r="M126" s="199" t="str">
        <f t="shared" si="38"/>
        <v/>
      </c>
      <c r="N126" s="199" t="str">
        <f t="shared" si="38"/>
        <v>■</v>
      </c>
      <c r="O126" s="199" t="str">
        <f t="shared" si="39"/>
        <v>■</v>
      </c>
      <c r="P126" s="199" t="str">
        <f t="shared" si="39"/>
        <v>■</v>
      </c>
      <c r="Q126" s="199" t="str">
        <f t="shared" si="39"/>
        <v>■</v>
      </c>
      <c r="R126" s="199" t="str">
        <f t="shared" si="39"/>
        <v>■</v>
      </c>
      <c r="S126" s="199" t="str">
        <f t="shared" si="39"/>
        <v>■</v>
      </c>
      <c r="T126" s="199" t="str">
        <f t="shared" si="39"/>
        <v>■</v>
      </c>
      <c r="U126" s="199" t="str">
        <f t="shared" si="39"/>
        <v>■</v>
      </c>
      <c r="V126" s="177" t="str">
        <f t="shared" si="39"/>
        <v>■</v>
      </c>
      <c r="X126" s="211" t="s">
        <v>28</v>
      </c>
      <c r="Y126" s="214" t="s">
        <v>274</v>
      </c>
      <c r="Z126" s="217">
        <v>46271</v>
      </c>
      <c r="AA126" s="217">
        <v>46299</v>
      </c>
      <c r="AB126" s="200" t="str">
        <f t="shared" si="40"/>
        <v/>
      </c>
      <c r="AC126" s="200" t="str">
        <f t="shared" si="40"/>
        <v/>
      </c>
      <c r="AD126" s="200" t="str">
        <f t="shared" si="40"/>
        <v/>
      </c>
      <c r="AE126" s="200" t="str">
        <f t="shared" si="40"/>
        <v/>
      </c>
      <c r="AF126" s="200" t="str">
        <f t="shared" si="40"/>
        <v/>
      </c>
      <c r="AG126" s="200" t="str">
        <f t="shared" si="40"/>
        <v/>
      </c>
      <c r="AH126" s="200" t="str">
        <f t="shared" si="40"/>
        <v/>
      </c>
      <c r="AI126" s="200" t="str">
        <f t="shared" si="40"/>
        <v/>
      </c>
      <c r="AJ126" s="200" t="str">
        <f t="shared" si="40"/>
        <v/>
      </c>
      <c r="AK126" s="200" t="str">
        <f t="shared" si="40"/>
        <v/>
      </c>
      <c r="AL126" s="200" t="str">
        <f t="shared" si="41"/>
        <v/>
      </c>
      <c r="AM126" s="200" t="str">
        <f t="shared" si="41"/>
        <v/>
      </c>
      <c r="AN126" s="200" t="str">
        <f t="shared" si="41"/>
        <v/>
      </c>
      <c r="AO126" s="200" t="str">
        <f t="shared" si="41"/>
        <v/>
      </c>
      <c r="AP126" s="200" t="str">
        <f t="shared" si="41"/>
        <v/>
      </c>
      <c r="AQ126" s="200" t="str">
        <f t="shared" si="41"/>
        <v/>
      </c>
      <c r="AR126" s="200" t="str">
        <f t="shared" si="41"/>
        <v/>
      </c>
      <c r="AS126" s="179" t="str">
        <f t="shared" si="41"/>
        <v/>
      </c>
      <c r="AT126" s="204" t="s">
        <v>275</v>
      </c>
      <c r="AU126" s="235" t="s">
        <v>276</v>
      </c>
      <c r="AV126" s="235" t="s">
        <v>277</v>
      </c>
      <c r="AW126" s="205" t="s">
        <v>283</v>
      </c>
    </row>
    <row r="127" spans="1:49" ht="22.5" customHeight="1">
      <c r="A127" s="175" t="s">
        <v>28</v>
      </c>
      <c r="B127" s="169" t="s">
        <v>97</v>
      </c>
      <c r="C127" s="170">
        <v>46143</v>
      </c>
      <c r="D127" s="170">
        <v>46264</v>
      </c>
      <c r="E127" s="200" t="str">
        <f t="shared" si="38"/>
        <v>■</v>
      </c>
      <c r="F127" s="200" t="str">
        <f t="shared" si="38"/>
        <v>■</v>
      </c>
      <c r="G127" s="200" t="str">
        <f t="shared" si="38"/>
        <v>■</v>
      </c>
      <c r="H127" s="200" t="str">
        <f t="shared" si="38"/>
        <v>■</v>
      </c>
      <c r="I127" s="200" t="str">
        <f t="shared" si="38"/>
        <v>■</v>
      </c>
      <c r="J127" s="200" t="str">
        <f t="shared" si="38"/>
        <v>■</v>
      </c>
      <c r="K127" s="200" t="str">
        <f t="shared" si="38"/>
        <v>■</v>
      </c>
      <c r="L127" s="200" t="str">
        <f t="shared" si="38"/>
        <v>■</v>
      </c>
      <c r="M127" s="200" t="str">
        <f t="shared" si="38"/>
        <v>■</v>
      </c>
      <c r="N127" s="200" t="str">
        <f t="shared" si="38"/>
        <v>■</v>
      </c>
      <c r="O127" s="200" t="str">
        <f t="shared" si="39"/>
        <v>■</v>
      </c>
      <c r="P127" s="200" t="str">
        <f t="shared" si="39"/>
        <v>■</v>
      </c>
      <c r="Q127" s="200" t="str">
        <f t="shared" si="39"/>
        <v>■</v>
      </c>
      <c r="R127" s="200" t="str">
        <f t="shared" si="39"/>
        <v>■</v>
      </c>
      <c r="S127" s="200" t="str">
        <f t="shared" si="39"/>
        <v>■</v>
      </c>
      <c r="T127" s="200" t="str">
        <f t="shared" si="39"/>
        <v>■</v>
      </c>
      <c r="U127" s="200" t="str">
        <f t="shared" si="39"/>
        <v>■</v>
      </c>
      <c r="V127" s="179" t="str">
        <f t="shared" si="39"/>
        <v>■</v>
      </c>
      <c r="X127" s="211" t="s">
        <v>28</v>
      </c>
      <c r="Y127" s="214" t="s">
        <v>279</v>
      </c>
      <c r="Z127" s="217">
        <v>46022</v>
      </c>
      <c r="AA127" s="217">
        <v>46386</v>
      </c>
      <c r="AB127" s="200" t="str">
        <f t="shared" si="40"/>
        <v>■</v>
      </c>
      <c r="AC127" s="200" t="str">
        <f t="shared" si="40"/>
        <v>■</v>
      </c>
      <c r="AD127" s="200" t="str">
        <f t="shared" si="40"/>
        <v>■</v>
      </c>
      <c r="AE127" s="200" t="str">
        <f t="shared" si="40"/>
        <v>■</v>
      </c>
      <c r="AF127" s="200" t="str">
        <f t="shared" si="40"/>
        <v>■</v>
      </c>
      <c r="AG127" s="200" t="str">
        <f t="shared" si="40"/>
        <v>■</v>
      </c>
      <c r="AH127" s="200" t="str">
        <f t="shared" si="40"/>
        <v>■</v>
      </c>
      <c r="AI127" s="200" t="str">
        <f t="shared" si="40"/>
        <v>■</v>
      </c>
      <c r="AJ127" s="200" t="str">
        <f t="shared" si="40"/>
        <v>■</v>
      </c>
      <c r="AK127" s="200" t="str">
        <f t="shared" si="40"/>
        <v>■</v>
      </c>
      <c r="AL127" s="200" t="str">
        <f t="shared" si="41"/>
        <v>■</v>
      </c>
      <c r="AM127" s="200" t="str">
        <f t="shared" si="41"/>
        <v>■</v>
      </c>
      <c r="AN127" s="200" t="str">
        <f t="shared" si="41"/>
        <v>■</v>
      </c>
      <c r="AO127" s="200" t="str">
        <f t="shared" si="41"/>
        <v>■</v>
      </c>
      <c r="AP127" s="200" t="str">
        <f t="shared" si="41"/>
        <v>■</v>
      </c>
      <c r="AQ127" s="200" t="str">
        <f t="shared" si="41"/>
        <v>■</v>
      </c>
      <c r="AR127" s="200" t="str">
        <f t="shared" si="41"/>
        <v>■</v>
      </c>
      <c r="AS127" s="179" t="str">
        <f t="shared" si="41"/>
        <v>■</v>
      </c>
      <c r="AT127" s="204" t="s">
        <v>49</v>
      </c>
      <c r="AU127" s="235" t="s">
        <v>280</v>
      </c>
      <c r="AV127" s="235" t="s">
        <v>284</v>
      </c>
      <c r="AW127" s="205" t="s">
        <v>285</v>
      </c>
    </row>
    <row r="128" spans="1:49" ht="22.5" customHeight="1">
      <c r="A128" s="175" t="s">
        <v>28</v>
      </c>
      <c r="B128" s="169" t="s">
        <v>99</v>
      </c>
      <c r="C128" s="170">
        <v>46204</v>
      </c>
      <c r="D128" s="170">
        <v>46264</v>
      </c>
      <c r="E128" s="200" t="str">
        <f t="shared" si="38"/>
        <v/>
      </c>
      <c r="F128" s="200" t="str">
        <f t="shared" si="38"/>
        <v/>
      </c>
      <c r="G128" s="200" t="str">
        <f t="shared" si="38"/>
        <v/>
      </c>
      <c r="H128" s="200" t="str">
        <f t="shared" si="38"/>
        <v/>
      </c>
      <c r="I128" s="200" t="str">
        <f t="shared" si="38"/>
        <v/>
      </c>
      <c r="J128" s="200" t="str">
        <f t="shared" si="38"/>
        <v/>
      </c>
      <c r="K128" s="200" t="str">
        <f t="shared" si="38"/>
        <v/>
      </c>
      <c r="L128" s="200" t="str">
        <f t="shared" si="38"/>
        <v/>
      </c>
      <c r="M128" s="200" t="str">
        <f t="shared" si="38"/>
        <v/>
      </c>
      <c r="N128" s="200" t="str">
        <f t="shared" si="38"/>
        <v>■</v>
      </c>
      <c r="O128" s="200" t="str">
        <f t="shared" si="39"/>
        <v>■</v>
      </c>
      <c r="P128" s="200" t="str">
        <f t="shared" si="39"/>
        <v>■</v>
      </c>
      <c r="Q128" s="200" t="str">
        <f t="shared" si="39"/>
        <v>■</v>
      </c>
      <c r="R128" s="200" t="str">
        <f t="shared" si="39"/>
        <v>■</v>
      </c>
      <c r="S128" s="200" t="str">
        <f t="shared" si="39"/>
        <v>■</v>
      </c>
      <c r="T128" s="200" t="str">
        <f t="shared" si="39"/>
        <v>■</v>
      </c>
      <c r="U128" s="200" t="str">
        <f t="shared" si="39"/>
        <v>■</v>
      </c>
      <c r="V128" s="179" t="str">
        <f t="shared" si="39"/>
        <v>■</v>
      </c>
      <c r="X128" s="212" t="s">
        <v>28</v>
      </c>
      <c r="Y128" s="213" t="s">
        <v>286</v>
      </c>
      <c r="Z128" s="218">
        <v>46198</v>
      </c>
      <c r="AA128" s="218">
        <v>46228</v>
      </c>
      <c r="AB128" s="174" t="str">
        <f t="shared" si="40"/>
        <v/>
      </c>
      <c r="AC128" s="174" t="str">
        <f t="shared" si="40"/>
        <v/>
      </c>
      <c r="AD128" s="174" t="str">
        <f t="shared" si="40"/>
        <v/>
      </c>
      <c r="AE128" s="174" t="str">
        <f t="shared" si="40"/>
        <v/>
      </c>
      <c r="AF128" s="174" t="str">
        <f t="shared" si="40"/>
        <v/>
      </c>
      <c r="AG128" s="174" t="str">
        <f t="shared" si="40"/>
        <v/>
      </c>
      <c r="AH128" s="174" t="str">
        <f t="shared" si="40"/>
        <v/>
      </c>
      <c r="AI128" s="174" t="str">
        <f t="shared" si="40"/>
        <v/>
      </c>
      <c r="AJ128" s="174" t="str">
        <f t="shared" si="40"/>
        <v>■</v>
      </c>
      <c r="AK128" s="174" t="str">
        <f t="shared" si="40"/>
        <v>■</v>
      </c>
      <c r="AL128" s="174" t="str">
        <f t="shared" si="41"/>
        <v>■</v>
      </c>
      <c r="AM128" s="174" t="str">
        <f t="shared" si="41"/>
        <v>■</v>
      </c>
      <c r="AN128" s="174" t="str">
        <f t="shared" si="41"/>
        <v>■</v>
      </c>
      <c r="AO128" s="174" t="str">
        <f t="shared" si="41"/>
        <v/>
      </c>
      <c r="AP128" s="174" t="str">
        <f t="shared" si="41"/>
        <v/>
      </c>
      <c r="AQ128" s="174" t="str">
        <f t="shared" si="41"/>
        <v/>
      </c>
      <c r="AR128" s="174" t="str">
        <f t="shared" si="41"/>
        <v/>
      </c>
      <c r="AS128" s="180" t="str">
        <f t="shared" si="41"/>
        <v/>
      </c>
      <c r="AT128" s="206" t="s">
        <v>287</v>
      </c>
      <c r="AU128" s="207" t="s">
        <v>288</v>
      </c>
      <c r="AV128" s="207" t="s">
        <v>289</v>
      </c>
      <c r="AW128" s="239" t="s">
        <v>290</v>
      </c>
    </row>
    <row r="129" spans="1:49" ht="22.5" customHeight="1">
      <c r="A129" s="176" t="s">
        <v>28</v>
      </c>
      <c r="B129" s="172" t="s">
        <v>100</v>
      </c>
      <c r="C129" s="173">
        <v>46204</v>
      </c>
      <c r="D129" s="173">
        <v>46264</v>
      </c>
      <c r="E129" s="174" t="str">
        <f t="shared" si="38"/>
        <v/>
      </c>
      <c r="F129" s="174" t="str">
        <f t="shared" si="38"/>
        <v/>
      </c>
      <c r="G129" s="174" t="str">
        <f t="shared" si="38"/>
        <v/>
      </c>
      <c r="H129" s="174" t="str">
        <f t="shared" si="38"/>
        <v/>
      </c>
      <c r="I129" s="174" t="str">
        <f t="shared" si="38"/>
        <v/>
      </c>
      <c r="J129" s="174" t="str">
        <f t="shared" si="38"/>
        <v/>
      </c>
      <c r="K129" s="174" t="str">
        <f t="shared" si="38"/>
        <v/>
      </c>
      <c r="L129" s="174" t="str">
        <f t="shared" si="38"/>
        <v/>
      </c>
      <c r="M129" s="174" t="str">
        <f t="shared" si="38"/>
        <v/>
      </c>
      <c r="N129" s="174" t="str">
        <f t="shared" si="38"/>
        <v>■</v>
      </c>
      <c r="O129" s="174" t="str">
        <f t="shared" si="39"/>
        <v>■</v>
      </c>
      <c r="P129" s="174" t="str">
        <f t="shared" si="39"/>
        <v>■</v>
      </c>
      <c r="Q129" s="174" t="str">
        <f t="shared" si="39"/>
        <v>■</v>
      </c>
      <c r="R129" s="174" t="str">
        <f t="shared" si="39"/>
        <v>■</v>
      </c>
      <c r="S129" s="174" t="str">
        <f t="shared" si="39"/>
        <v>■</v>
      </c>
      <c r="T129" s="174" t="str">
        <f t="shared" si="39"/>
        <v>■</v>
      </c>
      <c r="U129" s="174" t="str">
        <f t="shared" si="39"/>
        <v>■</v>
      </c>
      <c r="V129" s="180" t="str">
        <f t="shared" si="39"/>
        <v>■</v>
      </c>
      <c r="X129" s="214"/>
      <c r="Y129" s="214"/>
      <c r="Z129" s="170"/>
      <c r="AA129" s="170"/>
      <c r="AB129" s="171"/>
      <c r="AC129" s="171"/>
      <c r="AD129" s="171"/>
      <c r="AE129" s="171"/>
      <c r="AF129" s="171"/>
      <c r="AG129" s="171"/>
      <c r="AH129" s="171"/>
      <c r="AI129" s="171"/>
      <c r="AJ129" s="171"/>
      <c r="AK129" s="171"/>
      <c r="AL129" s="171"/>
      <c r="AM129" s="171"/>
      <c r="AN129" s="171"/>
      <c r="AO129" s="171"/>
      <c r="AP129" s="171"/>
      <c r="AQ129" s="171"/>
      <c r="AR129" s="171"/>
      <c r="AS129" s="171"/>
      <c r="AT129" s="235"/>
      <c r="AU129" s="235"/>
      <c r="AV129" s="235"/>
      <c r="AW129" s="235"/>
    </row>
    <row r="130" spans="1:49" ht="22.5" customHeight="1">
      <c r="A130" s="292" t="s">
        <v>291</v>
      </c>
      <c r="B130" s="292"/>
      <c r="C130" s="292"/>
      <c r="D130" s="292"/>
      <c r="E130" s="292"/>
      <c r="F130" s="292"/>
      <c r="G130" s="292"/>
      <c r="H130" s="292"/>
      <c r="I130" s="292"/>
      <c r="J130" s="292"/>
      <c r="K130" s="292"/>
      <c r="L130" s="292"/>
      <c r="M130" s="292"/>
      <c r="N130" s="292"/>
      <c r="O130" s="292"/>
      <c r="P130" s="292"/>
      <c r="Q130" s="292"/>
      <c r="R130" s="292"/>
      <c r="S130" s="292"/>
      <c r="T130" s="292"/>
      <c r="U130" s="292"/>
      <c r="V130" s="292"/>
      <c r="X130" s="294" t="s">
        <v>292</v>
      </c>
      <c r="Y130" s="294"/>
      <c r="Z130" s="294"/>
      <c r="AA130" s="294"/>
      <c r="AB130" s="294"/>
      <c r="AC130" s="294"/>
      <c r="AD130" s="294"/>
      <c r="AE130" s="294"/>
      <c r="AF130" s="294"/>
      <c r="AG130" s="294"/>
      <c r="AH130" s="294"/>
      <c r="AI130" s="294"/>
      <c r="AJ130" s="294"/>
      <c r="AK130" s="294"/>
      <c r="AL130" s="294"/>
      <c r="AM130" s="294"/>
      <c r="AN130" s="294"/>
      <c r="AO130" s="294"/>
      <c r="AP130" s="294"/>
      <c r="AQ130" s="294"/>
      <c r="AR130" s="294"/>
      <c r="AS130" s="294"/>
      <c r="AT130" s="235"/>
      <c r="AU130" s="235"/>
      <c r="AV130" s="235"/>
      <c r="AW130" s="235"/>
    </row>
    <row r="131" spans="1:49" ht="22.5" customHeight="1">
      <c r="A131" s="186" t="s">
        <v>105</v>
      </c>
      <c r="B131" s="187" t="s">
        <v>106</v>
      </c>
      <c r="C131" s="181" t="s">
        <v>95</v>
      </c>
      <c r="D131" s="181" t="s">
        <v>96</v>
      </c>
      <c r="E131" s="184" t="s">
        <v>107</v>
      </c>
      <c r="F131" s="184" t="s">
        <v>108</v>
      </c>
      <c r="G131" s="184" t="s">
        <v>109</v>
      </c>
      <c r="H131" s="184" t="s">
        <v>110</v>
      </c>
      <c r="I131" s="184" t="s">
        <v>111</v>
      </c>
      <c r="J131" s="184" t="s">
        <v>112</v>
      </c>
      <c r="K131" s="184" t="s">
        <v>113</v>
      </c>
      <c r="L131" s="184" t="s">
        <v>114</v>
      </c>
      <c r="M131" s="184" t="s">
        <v>115</v>
      </c>
      <c r="N131" s="184" t="s">
        <v>116</v>
      </c>
      <c r="O131" s="184" t="s">
        <v>117</v>
      </c>
      <c r="P131" s="184" t="s">
        <v>118</v>
      </c>
      <c r="Q131" s="184" t="s">
        <v>119</v>
      </c>
      <c r="R131" s="184" t="s">
        <v>120</v>
      </c>
      <c r="S131" s="184" t="s">
        <v>121</v>
      </c>
      <c r="T131" s="184" t="s">
        <v>122</v>
      </c>
      <c r="U131" s="184" t="s">
        <v>123</v>
      </c>
      <c r="V131" s="185" t="s">
        <v>124</v>
      </c>
      <c r="X131" s="219" t="s">
        <v>105</v>
      </c>
      <c r="Y131" s="220" t="s">
        <v>125</v>
      </c>
      <c r="Z131" s="184" t="s">
        <v>95</v>
      </c>
      <c r="AA131" s="184" t="s">
        <v>96</v>
      </c>
      <c r="AB131" s="184" t="s">
        <v>107</v>
      </c>
      <c r="AC131" s="184" t="s">
        <v>108</v>
      </c>
      <c r="AD131" s="184" t="s">
        <v>109</v>
      </c>
      <c r="AE131" s="184" t="s">
        <v>110</v>
      </c>
      <c r="AF131" s="184" t="s">
        <v>111</v>
      </c>
      <c r="AG131" s="184" t="s">
        <v>112</v>
      </c>
      <c r="AH131" s="184" t="s">
        <v>113</v>
      </c>
      <c r="AI131" s="184" t="s">
        <v>114</v>
      </c>
      <c r="AJ131" s="184" t="s">
        <v>115</v>
      </c>
      <c r="AK131" s="184" t="s">
        <v>116</v>
      </c>
      <c r="AL131" s="184" t="s">
        <v>117</v>
      </c>
      <c r="AM131" s="184" t="s">
        <v>118</v>
      </c>
      <c r="AN131" s="184" t="s">
        <v>119</v>
      </c>
      <c r="AO131" s="184" t="s">
        <v>120</v>
      </c>
      <c r="AP131" s="184" t="s">
        <v>121</v>
      </c>
      <c r="AQ131" s="184" t="s">
        <v>122</v>
      </c>
      <c r="AR131" s="184" t="s">
        <v>123</v>
      </c>
      <c r="AS131" s="185" t="s">
        <v>124</v>
      </c>
      <c r="AT131" s="202" t="s">
        <v>126</v>
      </c>
      <c r="AU131" s="201" t="s">
        <v>127</v>
      </c>
      <c r="AV131" s="201" t="s">
        <v>128</v>
      </c>
      <c r="AW131" s="203" t="s">
        <v>129</v>
      </c>
    </row>
    <row r="132" spans="1:49" ht="22.5" customHeight="1">
      <c r="A132" s="175" t="s">
        <v>20</v>
      </c>
      <c r="B132" s="169" t="s">
        <v>97</v>
      </c>
      <c r="C132" s="170">
        <v>46143</v>
      </c>
      <c r="D132" s="170">
        <v>46264</v>
      </c>
      <c r="E132" s="199" t="str">
        <f t="shared" ref="E132:N141" si="42">IFERROR(IF(OR($A132="",$A132="Model",LEFT($A132,5)="Markt"),"",IF(AND($C132&lt;=E$3+6,$D132&gt;=E$3),"■","")),"")</f>
        <v>■</v>
      </c>
      <c r="F132" s="199" t="str">
        <f t="shared" si="42"/>
        <v>■</v>
      </c>
      <c r="G132" s="199" t="str">
        <f t="shared" si="42"/>
        <v>■</v>
      </c>
      <c r="H132" s="199" t="str">
        <f t="shared" si="42"/>
        <v>■</v>
      </c>
      <c r="I132" s="199" t="str">
        <f t="shared" si="42"/>
        <v>■</v>
      </c>
      <c r="J132" s="199" t="str">
        <f t="shared" si="42"/>
        <v>■</v>
      </c>
      <c r="K132" s="199" t="str">
        <f t="shared" si="42"/>
        <v>■</v>
      </c>
      <c r="L132" s="199" t="str">
        <f t="shared" si="42"/>
        <v>■</v>
      </c>
      <c r="M132" s="199" t="str">
        <f t="shared" si="42"/>
        <v>■</v>
      </c>
      <c r="N132" s="199" t="str">
        <f t="shared" si="42"/>
        <v>■</v>
      </c>
      <c r="O132" s="199" t="str">
        <f t="shared" ref="O132:V141" si="43">IFERROR(IF(OR($A132="",$A132="Model",LEFT($A132,5)="Markt"),"",IF(AND($C132&lt;=O$3+6,$D132&gt;=O$3),"■","")),"")</f>
        <v>■</v>
      </c>
      <c r="P132" s="199" t="str">
        <f t="shared" si="43"/>
        <v>■</v>
      </c>
      <c r="Q132" s="199" t="str">
        <f t="shared" si="43"/>
        <v>■</v>
      </c>
      <c r="R132" s="199" t="str">
        <f t="shared" si="43"/>
        <v>■</v>
      </c>
      <c r="S132" s="199" t="str">
        <f t="shared" si="43"/>
        <v>■</v>
      </c>
      <c r="T132" s="199" t="str">
        <f t="shared" si="43"/>
        <v>■</v>
      </c>
      <c r="U132" s="199" t="str">
        <f t="shared" si="43"/>
        <v>■</v>
      </c>
      <c r="V132" s="177" t="str">
        <f t="shared" si="43"/>
        <v>■</v>
      </c>
      <c r="X132" s="231" t="s">
        <v>133</v>
      </c>
      <c r="Y132" s="232" t="s">
        <v>293</v>
      </c>
      <c r="Z132" s="170">
        <v>46022</v>
      </c>
      <c r="AA132" s="168">
        <v>46386</v>
      </c>
      <c r="AB132" s="223" t="str">
        <f t="shared" ref="AB132:AK134" si="44">IF(AND($Z132&lt;=(AB$3+6),$AA132&gt;=AB$3),"■","")</f>
        <v>■</v>
      </c>
      <c r="AC132" s="223" t="str">
        <f t="shared" si="44"/>
        <v>■</v>
      </c>
      <c r="AD132" s="223" t="str">
        <f t="shared" si="44"/>
        <v>■</v>
      </c>
      <c r="AE132" s="223" t="str">
        <f t="shared" si="44"/>
        <v>■</v>
      </c>
      <c r="AF132" s="223" t="str">
        <f t="shared" si="44"/>
        <v>■</v>
      </c>
      <c r="AG132" s="223" t="str">
        <f t="shared" si="44"/>
        <v>■</v>
      </c>
      <c r="AH132" s="223" t="str">
        <f t="shared" si="44"/>
        <v>■</v>
      </c>
      <c r="AI132" s="223" t="str">
        <f t="shared" si="44"/>
        <v>■</v>
      </c>
      <c r="AJ132" s="223" t="str">
        <f t="shared" si="44"/>
        <v>■</v>
      </c>
      <c r="AK132" s="223" t="str">
        <f t="shared" si="44"/>
        <v>■</v>
      </c>
      <c r="AL132" s="223" t="str">
        <f t="shared" ref="AL132:AS134" si="45">IF(AND($Z132&lt;=(AL$3+6),$AA132&gt;=AL$3),"■","")</f>
        <v>■</v>
      </c>
      <c r="AM132" s="223" t="str">
        <f t="shared" si="45"/>
        <v>■</v>
      </c>
      <c r="AN132" s="223" t="str">
        <f t="shared" si="45"/>
        <v>■</v>
      </c>
      <c r="AO132" s="223" t="str">
        <f t="shared" si="45"/>
        <v>■</v>
      </c>
      <c r="AP132" s="223" t="str">
        <f t="shared" si="45"/>
        <v>■</v>
      </c>
      <c r="AQ132" s="223" t="str">
        <f t="shared" si="45"/>
        <v>■</v>
      </c>
      <c r="AR132" s="223" t="str">
        <f t="shared" si="45"/>
        <v>■</v>
      </c>
      <c r="AS132" s="224" t="str">
        <f t="shared" si="45"/>
        <v>■</v>
      </c>
      <c r="AT132" s="204" t="s">
        <v>294</v>
      </c>
      <c r="AU132" s="235">
        <v>186240</v>
      </c>
      <c r="AV132" s="235" t="s">
        <v>171</v>
      </c>
      <c r="AW132" s="205" t="s">
        <v>295</v>
      </c>
    </row>
    <row r="133" spans="1:49" ht="22.5" customHeight="1">
      <c r="A133" s="175" t="s">
        <v>20</v>
      </c>
      <c r="B133" s="169" t="s">
        <v>99</v>
      </c>
      <c r="C133" s="170">
        <v>46143</v>
      </c>
      <c r="D133" s="170">
        <v>46264</v>
      </c>
      <c r="E133" s="199" t="str">
        <f t="shared" si="42"/>
        <v>■</v>
      </c>
      <c r="F133" s="199" t="str">
        <f t="shared" si="42"/>
        <v>■</v>
      </c>
      <c r="G133" s="199" t="str">
        <f t="shared" si="42"/>
        <v>■</v>
      </c>
      <c r="H133" s="199" t="str">
        <f t="shared" si="42"/>
        <v>■</v>
      </c>
      <c r="I133" s="199" t="str">
        <f t="shared" si="42"/>
        <v>■</v>
      </c>
      <c r="J133" s="199" t="str">
        <f t="shared" si="42"/>
        <v>■</v>
      </c>
      <c r="K133" s="199" t="str">
        <f t="shared" si="42"/>
        <v>■</v>
      </c>
      <c r="L133" s="199" t="str">
        <f t="shared" si="42"/>
        <v>■</v>
      </c>
      <c r="M133" s="199" t="str">
        <f t="shared" si="42"/>
        <v>■</v>
      </c>
      <c r="N133" s="199" t="str">
        <f t="shared" si="42"/>
        <v>■</v>
      </c>
      <c r="O133" s="199" t="str">
        <f t="shared" si="43"/>
        <v>■</v>
      </c>
      <c r="P133" s="199" t="str">
        <f t="shared" si="43"/>
        <v>■</v>
      </c>
      <c r="Q133" s="199" t="str">
        <f t="shared" si="43"/>
        <v>■</v>
      </c>
      <c r="R133" s="199" t="str">
        <f t="shared" si="43"/>
        <v>■</v>
      </c>
      <c r="S133" s="199" t="str">
        <f t="shared" si="43"/>
        <v>■</v>
      </c>
      <c r="T133" s="199" t="str">
        <f t="shared" si="43"/>
        <v>■</v>
      </c>
      <c r="U133" s="199" t="str">
        <f t="shared" si="43"/>
        <v>■</v>
      </c>
      <c r="V133" s="177" t="str">
        <f t="shared" si="43"/>
        <v>■</v>
      </c>
      <c r="X133" s="231" t="s">
        <v>22</v>
      </c>
      <c r="Y133" s="232" t="s">
        <v>293</v>
      </c>
      <c r="Z133" s="170"/>
      <c r="AA133" s="168"/>
      <c r="AB133" s="182" t="str">
        <f t="shared" si="44"/>
        <v/>
      </c>
      <c r="AC133" s="182" t="str">
        <f t="shared" si="44"/>
        <v/>
      </c>
      <c r="AD133" s="182" t="str">
        <f t="shared" si="44"/>
        <v/>
      </c>
      <c r="AE133" s="182" t="str">
        <f t="shared" si="44"/>
        <v/>
      </c>
      <c r="AF133" s="182" t="str">
        <f t="shared" si="44"/>
        <v/>
      </c>
      <c r="AG133" s="182" t="str">
        <f t="shared" si="44"/>
        <v/>
      </c>
      <c r="AH133" s="182" t="str">
        <f t="shared" si="44"/>
        <v/>
      </c>
      <c r="AI133" s="182" t="str">
        <f t="shared" si="44"/>
        <v/>
      </c>
      <c r="AJ133" s="182" t="str">
        <f t="shared" si="44"/>
        <v/>
      </c>
      <c r="AK133" s="182" t="str">
        <f t="shared" si="44"/>
        <v/>
      </c>
      <c r="AL133" s="182" t="str">
        <f t="shared" si="45"/>
        <v/>
      </c>
      <c r="AM133" s="182" t="str">
        <f t="shared" si="45"/>
        <v/>
      </c>
      <c r="AN133" s="182" t="str">
        <f t="shared" si="45"/>
        <v/>
      </c>
      <c r="AO133" s="182" t="str">
        <f t="shared" si="45"/>
        <v/>
      </c>
      <c r="AP133" s="182" t="str">
        <f t="shared" si="45"/>
        <v/>
      </c>
      <c r="AQ133" s="182" t="str">
        <f t="shared" si="45"/>
        <v/>
      </c>
      <c r="AR133" s="182" t="str">
        <f t="shared" si="45"/>
        <v/>
      </c>
      <c r="AS133" s="225" t="str">
        <f t="shared" si="45"/>
        <v/>
      </c>
      <c r="AT133" s="204" t="s">
        <v>294</v>
      </c>
      <c r="AU133" s="235">
        <v>186849</v>
      </c>
      <c r="AV133" s="235" t="s">
        <v>296</v>
      </c>
      <c r="AW133" s="205" t="s">
        <v>297</v>
      </c>
    </row>
    <row r="134" spans="1:49" ht="22.5" customHeight="1">
      <c r="A134" s="175" t="s">
        <v>20</v>
      </c>
      <c r="B134" s="169" t="s">
        <v>100</v>
      </c>
      <c r="C134" s="170">
        <v>46204</v>
      </c>
      <c r="D134" s="170">
        <v>46264</v>
      </c>
      <c r="E134" s="199" t="str">
        <f t="shared" si="42"/>
        <v/>
      </c>
      <c r="F134" s="199" t="str">
        <f t="shared" si="42"/>
        <v/>
      </c>
      <c r="G134" s="199" t="str">
        <f t="shared" si="42"/>
        <v/>
      </c>
      <c r="H134" s="199" t="str">
        <f t="shared" si="42"/>
        <v/>
      </c>
      <c r="I134" s="199" t="str">
        <f t="shared" si="42"/>
        <v/>
      </c>
      <c r="J134" s="199" t="str">
        <f t="shared" si="42"/>
        <v/>
      </c>
      <c r="K134" s="199" t="str">
        <f t="shared" si="42"/>
        <v/>
      </c>
      <c r="L134" s="199" t="str">
        <f t="shared" si="42"/>
        <v/>
      </c>
      <c r="M134" s="199" t="str">
        <f t="shared" si="42"/>
        <v/>
      </c>
      <c r="N134" s="199" t="str">
        <f t="shared" si="42"/>
        <v>■</v>
      </c>
      <c r="O134" s="199" t="str">
        <f t="shared" si="43"/>
        <v>■</v>
      </c>
      <c r="P134" s="199" t="str">
        <f t="shared" si="43"/>
        <v>■</v>
      </c>
      <c r="Q134" s="199" t="str">
        <f t="shared" si="43"/>
        <v>■</v>
      </c>
      <c r="R134" s="199" t="str">
        <f t="shared" si="43"/>
        <v>■</v>
      </c>
      <c r="S134" s="199" t="str">
        <f t="shared" si="43"/>
        <v>■</v>
      </c>
      <c r="T134" s="199" t="str">
        <f t="shared" si="43"/>
        <v>■</v>
      </c>
      <c r="U134" s="199" t="str">
        <f t="shared" si="43"/>
        <v>■</v>
      </c>
      <c r="V134" s="177" t="str">
        <f t="shared" si="43"/>
        <v>■</v>
      </c>
      <c r="X134" s="233" t="s">
        <v>28</v>
      </c>
      <c r="Y134" s="234" t="s">
        <v>293</v>
      </c>
      <c r="Z134" s="173">
        <v>46022</v>
      </c>
      <c r="AA134" s="228">
        <v>46386</v>
      </c>
      <c r="AB134" s="229" t="str">
        <f t="shared" si="44"/>
        <v>■</v>
      </c>
      <c r="AC134" s="229" t="str">
        <f t="shared" si="44"/>
        <v>■</v>
      </c>
      <c r="AD134" s="229" t="str">
        <f t="shared" si="44"/>
        <v>■</v>
      </c>
      <c r="AE134" s="229" t="str">
        <f t="shared" si="44"/>
        <v>■</v>
      </c>
      <c r="AF134" s="229" t="str">
        <f t="shared" si="44"/>
        <v>■</v>
      </c>
      <c r="AG134" s="229" t="str">
        <f t="shared" si="44"/>
        <v>■</v>
      </c>
      <c r="AH134" s="229" t="str">
        <f t="shared" si="44"/>
        <v>■</v>
      </c>
      <c r="AI134" s="229" t="str">
        <f t="shared" si="44"/>
        <v>■</v>
      </c>
      <c r="AJ134" s="229" t="str">
        <f t="shared" si="44"/>
        <v>■</v>
      </c>
      <c r="AK134" s="229" t="str">
        <f t="shared" si="44"/>
        <v>■</v>
      </c>
      <c r="AL134" s="229" t="str">
        <f t="shared" si="45"/>
        <v>■</v>
      </c>
      <c r="AM134" s="229" t="str">
        <f t="shared" si="45"/>
        <v>■</v>
      </c>
      <c r="AN134" s="229" t="str">
        <f t="shared" si="45"/>
        <v>■</v>
      </c>
      <c r="AO134" s="229" t="str">
        <f t="shared" si="45"/>
        <v>■</v>
      </c>
      <c r="AP134" s="229" t="str">
        <f t="shared" si="45"/>
        <v>■</v>
      </c>
      <c r="AQ134" s="229" t="str">
        <f t="shared" si="45"/>
        <v>■</v>
      </c>
      <c r="AR134" s="229" t="str">
        <f t="shared" si="45"/>
        <v>■</v>
      </c>
      <c r="AS134" s="230" t="str">
        <f t="shared" si="45"/>
        <v>■</v>
      </c>
      <c r="AT134" s="206" t="s">
        <v>294</v>
      </c>
      <c r="AU134" s="207">
        <v>186849</v>
      </c>
      <c r="AV134" s="207" t="s">
        <v>171</v>
      </c>
      <c r="AW134" s="239" t="s">
        <v>295</v>
      </c>
    </row>
    <row r="135" spans="1:49" ht="22.5" customHeight="1">
      <c r="A135" s="175" t="s">
        <v>22</v>
      </c>
      <c r="B135" s="169" t="s">
        <v>97</v>
      </c>
      <c r="C135" s="170">
        <v>46143</v>
      </c>
      <c r="D135" s="170">
        <v>46264</v>
      </c>
      <c r="E135" s="171" t="str">
        <f t="shared" si="42"/>
        <v>■</v>
      </c>
      <c r="F135" s="171" t="str">
        <f t="shared" si="42"/>
        <v>■</v>
      </c>
      <c r="G135" s="171" t="str">
        <f t="shared" si="42"/>
        <v>■</v>
      </c>
      <c r="H135" s="171" t="str">
        <f t="shared" si="42"/>
        <v>■</v>
      </c>
      <c r="I135" s="171" t="str">
        <f t="shared" si="42"/>
        <v>■</v>
      </c>
      <c r="J135" s="171" t="str">
        <f t="shared" si="42"/>
        <v>■</v>
      </c>
      <c r="K135" s="171" t="str">
        <f t="shared" si="42"/>
        <v>■</v>
      </c>
      <c r="L135" s="171" t="str">
        <f t="shared" si="42"/>
        <v>■</v>
      </c>
      <c r="M135" s="171" t="str">
        <f t="shared" si="42"/>
        <v>■</v>
      </c>
      <c r="N135" s="171" t="str">
        <f t="shared" si="42"/>
        <v>■</v>
      </c>
      <c r="O135" s="171" t="str">
        <f t="shared" si="43"/>
        <v>■</v>
      </c>
      <c r="P135" s="171" t="str">
        <f t="shared" si="43"/>
        <v>■</v>
      </c>
      <c r="Q135" s="171" t="str">
        <f t="shared" si="43"/>
        <v>■</v>
      </c>
      <c r="R135" s="171" t="str">
        <f t="shared" si="43"/>
        <v>■</v>
      </c>
      <c r="S135" s="171" t="str">
        <f t="shared" si="43"/>
        <v>■</v>
      </c>
      <c r="T135" s="171" t="str">
        <f t="shared" si="43"/>
        <v>■</v>
      </c>
      <c r="U135" s="171" t="str">
        <f t="shared" si="43"/>
        <v>■</v>
      </c>
      <c r="V135" s="178" t="str">
        <f t="shared" si="43"/>
        <v>■</v>
      </c>
      <c r="AT135" s="235"/>
      <c r="AU135" s="235"/>
      <c r="AV135" s="235"/>
      <c r="AW135" s="235"/>
    </row>
    <row r="136" spans="1:49" ht="22.5" customHeight="1">
      <c r="A136" s="175" t="s">
        <v>22</v>
      </c>
      <c r="B136" s="169" t="s">
        <v>98</v>
      </c>
      <c r="C136" s="170">
        <v>46143</v>
      </c>
      <c r="D136" s="170">
        <v>46264</v>
      </c>
      <c r="E136" s="171" t="str">
        <f t="shared" si="42"/>
        <v>■</v>
      </c>
      <c r="F136" s="171" t="str">
        <f t="shared" si="42"/>
        <v>■</v>
      </c>
      <c r="G136" s="171" t="str">
        <f t="shared" si="42"/>
        <v>■</v>
      </c>
      <c r="H136" s="171" t="str">
        <f t="shared" si="42"/>
        <v>■</v>
      </c>
      <c r="I136" s="171" t="str">
        <f t="shared" si="42"/>
        <v>■</v>
      </c>
      <c r="J136" s="171" t="str">
        <f t="shared" si="42"/>
        <v>■</v>
      </c>
      <c r="K136" s="171" t="str">
        <f t="shared" si="42"/>
        <v>■</v>
      </c>
      <c r="L136" s="171" t="str">
        <f t="shared" si="42"/>
        <v>■</v>
      </c>
      <c r="M136" s="171" t="str">
        <f t="shared" si="42"/>
        <v>■</v>
      </c>
      <c r="N136" s="171" t="str">
        <f t="shared" si="42"/>
        <v>■</v>
      </c>
      <c r="O136" s="171" t="str">
        <f t="shared" si="43"/>
        <v>■</v>
      </c>
      <c r="P136" s="171" t="str">
        <f t="shared" si="43"/>
        <v>■</v>
      </c>
      <c r="Q136" s="171" t="str">
        <f t="shared" si="43"/>
        <v>■</v>
      </c>
      <c r="R136" s="171" t="str">
        <f t="shared" si="43"/>
        <v>■</v>
      </c>
      <c r="S136" s="171" t="str">
        <f t="shared" si="43"/>
        <v>■</v>
      </c>
      <c r="T136" s="171" t="str">
        <f t="shared" si="43"/>
        <v>■</v>
      </c>
      <c r="U136" s="171" t="str">
        <f t="shared" si="43"/>
        <v>■</v>
      </c>
      <c r="V136" s="178" t="str">
        <f t="shared" si="43"/>
        <v>■</v>
      </c>
      <c r="AT136" s="235"/>
      <c r="AU136" s="235"/>
      <c r="AV136" s="235"/>
      <c r="AW136" s="235"/>
    </row>
    <row r="137" spans="1:49" ht="22.5" customHeight="1">
      <c r="A137" s="175" t="s">
        <v>22</v>
      </c>
      <c r="B137" s="169" t="s">
        <v>99</v>
      </c>
      <c r="C137" s="170">
        <v>46143</v>
      </c>
      <c r="D137" s="170">
        <v>46264</v>
      </c>
      <c r="E137" s="171" t="str">
        <f t="shared" si="42"/>
        <v>■</v>
      </c>
      <c r="F137" s="171" t="str">
        <f t="shared" si="42"/>
        <v>■</v>
      </c>
      <c r="G137" s="171" t="str">
        <f t="shared" si="42"/>
        <v>■</v>
      </c>
      <c r="H137" s="171" t="str">
        <f t="shared" si="42"/>
        <v>■</v>
      </c>
      <c r="I137" s="171" t="str">
        <f t="shared" si="42"/>
        <v>■</v>
      </c>
      <c r="J137" s="171" t="str">
        <f t="shared" si="42"/>
        <v>■</v>
      </c>
      <c r="K137" s="171" t="str">
        <f t="shared" si="42"/>
        <v>■</v>
      </c>
      <c r="L137" s="171" t="str">
        <f t="shared" si="42"/>
        <v>■</v>
      </c>
      <c r="M137" s="171" t="str">
        <f t="shared" si="42"/>
        <v>■</v>
      </c>
      <c r="N137" s="171" t="str">
        <f t="shared" si="42"/>
        <v>■</v>
      </c>
      <c r="O137" s="171" t="str">
        <f t="shared" si="43"/>
        <v>■</v>
      </c>
      <c r="P137" s="171" t="str">
        <f t="shared" si="43"/>
        <v>■</v>
      </c>
      <c r="Q137" s="171" t="str">
        <f t="shared" si="43"/>
        <v>■</v>
      </c>
      <c r="R137" s="171" t="str">
        <f t="shared" si="43"/>
        <v>■</v>
      </c>
      <c r="S137" s="171" t="str">
        <f t="shared" si="43"/>
        <v>■</v>
      </c>
      <c r="T137" s="171" t="str">
        <f t="shared" si="43"/>
        <v>■</v>
      </c>
      <c r="U137" s="171" t="str">
        <f t="shared" si="43"/>
        <v>■</v>
      </c>
      <c r="V137" s="178" t="str">
        <f t="shared" si="43"/>
        <v>■</v>
      </c>
      <c r="AT137" s="235"/>
      <c r="AU137" s="235"/>
      <c r="AV137" s="235"/>
      <c r="AW137" s="235"/>
    </row>
    <row r="138" spans="1:49" ht="22.5" customHeight="1">
      <c r="A138" s="175" t="s">
        <v>22</v>
      </c>
      <c r="B138" s="169" t="s">
        <v>100</v>
      </c>
      <c r="C138" s="170">
        <v>46204</v>
      </c>
      <c r="D138" s="170">
        <v>46264</v>
      </c>
      <c r="E138" s="171" t="str">
        <f t="shared" si="42"/>
        <v/>
      </c>
      <c r="F138" s="171" t="str">
        <f t="shared" si="42"/>
        <v/>
      </c>
      <c r="G138" s="171" t="str">
        <f t="shared" si="42"/>
        <v/>
      </c>
      <c r="H138" s="171" t="str">
        <f t="shared" si="42"/>
        <v/>
      </c>
      <c r="I138" s="171" t="str">
        <f t="shared" si="42"/>
        <v/>
      </c>
      <c r="J138" s="171" t="str">
        <f t="shared" si="42"/>
        <v/>
      </c>
      <c r="K138" s="171" t="str">
        <f t="shared" si="42"/>
        <v/>
      </c>
      <c r="L138" s="171" t="str">
        <f t="shared" si="42"/>
        <v/>
      </c>
      <c r="M138" s="171" t="str">
        <f t="shared" si="42"/>
        <v/>
      </c>
      <c r="N138" s="171" t="str">
        <f t="shared" si="42"/>
        <v>■</v>
      </c>
      <c r="O138" s="171" t="str">
        <f t="shared" si="43"/>
        <v>■</v>
      </c>
      <c r="P138" s="171" t="str">
        <f t="shared" si="43"/>
        <v>■</v>
      </c>
      <c r="Q138" s="171" t="str">
        <f t="shared" si="43"/>
        <v>■</v>
      </c>
      <c r="R138" s="171" t="str">
        <f t="shared" si="43"/>
        <v>■</v>
      </c>
      <c r="S138" s="171" t="str">
        <f t="shared" si="43"/>
        <v>■</v>
      </c>
      <c r="T138" s="171" t="str">
        <f t="shared" si="43"/>
        <v>■</v>
      </c>
      <c r="U138" s="171" t="str">
        <f t="shared" si="43"/>
        <v>■</v>
      </c>
      <c r="V138" s="178" t="str">
        <f t="shared" si="43"/>
        <v>■</v>
      </c>
      <c r="AT138" s="235"/>
      <c r="AU138" s="235"/>
      <c r="AV138" s="235"/>
      <c r="AW138" s="235"/>
    </row>
    <row r="139" spans="1:49" ht="22.5" customHeight="1">
      <c r="A139" s="175" t="s">
        <v>28</v>
      </c>
      <c r="B139" s="169" t="s">
        <v>97</v>
      </c>
      <c r="C139" s="170">
        <v>46143</v>
      </c>
      <c r="D139" s="170">
        <v>46264</v>
      </c>
      <c r="E139" s="200" t="str">
        <f t="shared" si="42"/>
        <v>■</v>
      </c>
      <c r="F139" s="200" t="str">
        <f t="shared" si="42"/>
        <v>■</v>
      </c>
      <c r="G139" s="200" t="str">
        <f t="shared" si="42"/>
        <v>■</v>
      </c>
      <c r="H139" s="200" t="str">
        <f t="shared" si="42"/>
        <v>■</v>
      </c>
      <c r="I139" s="200" t="str">
        <f t="shared" si="42"/>
        <v>■</v>
      </c>
      <c r="J139" s="200" t="str">
        <f t="shared" si="42"/>
        <v>■</v>
      </c>
      <c r="K139" s="200" t="str">
        <f t="shared" si="42"/>
        <v>■</v>
      </c>
      <c r="L139" s="200" t="str">
        <f t="shared" si="42"/>
        <v>■</v>
      </c>
      <c r="M139" s="200" t="str">
        <f t="shared" si="42"/>
        <v>■</v>
      </c>
      <c r="N139" s="200" t="str">
        <f t="shared" si="42"/>
        <v>■</v>
      </c>
      <c r="O139" s="200" t="str">
        <f t="shared" si="43"/>
        <v>■</v>
      </c>
      <c r="P139" s="200" t="str">
        <f t="shared" si="43"/>
        <v>■</v>
      </c>
      <c r="Q139" s="200" t="str">
        <f t="shared" si="43"/>
        <v>■</v>
      </c>
      <c r="R139" s="200" t="str">
        <f t="shared" si="43"/>
        <v>■</v>
      </c>
      <c r="S139" s="200" t="str">
        <f t="shared" si="43"/>
        <v>■</v>
      </c>
      <c r="T139" s="200" t="str">
        <f t="shared" si="43"/>
        <v>■</v>
      </c>
      <c r="U139" s="200" t="str">
        <f t="shared" si="43"/>
        <v>■</v>
      </c>
      <c r="V139" s="179" t="str">
        <f t="shared" si="43"/>
        <v>■</v>
      </c>
      <c r="AT139" s="235"/>
      <c r="AU139" s="235"/>
      <c r="AV139" s="235"/>
      <c r="AW139" s="235"/>
    </row>
    <row r="140" spans="1:49" ht="22.5" customHeight="1">
      <c r="A140" s="175" t="s">
        <v>28</v>
      </c>
      <c r="B140" s="169" t="s">
        <v>99</v>
      </c>
      <c r="C140" s="170">
        <v>46204</v>
      </c>
      <c r="D140" s="170">
        <v>46264</v>
      </c>
      <c r="E140" s="200" t="str">
        <f t="shared" si="42"/>
        <v/>
      </c>
      <c r="F140" s="200" t="str">
        <f t="shared" si="42"/>
        <v/>
      </c>
      <c r="G140" s="200" t="str">
        <f t="shared" si="42"/>
        <v/>
      </c>
      <c r="H140" s="200" t="str">
        <f t="shared" si="42"/>
        <v/>
      </c>
      <c r="I140" s="200" t="str">
        <f t="shared" si="42"/>
        <v/>
      </c>
      <c r="J140" s="200" t="str">
        <f t="shared" si="42"/>
        <v/>
      </c>
      <c r="K140" s="200" t="str">
        <f t="shared" si="42"/>
        <v/>
      </c>
      <c r="L140" s="200" t="str">
        <f t="shared" si="42"/>
        <v/>
      </c>
      <c r="M140" s="200" t="str">
        <f t="shared" si="42"/>
        <v/>
      </c>
      <c r="N140" s="200" t="str">
        <f t="shared" si="42"/>
        <v>■</v>
      </c>
      <c r="O140" s="200" t="str">
        <f t="shared" si="43"/>
        <v>■</v>
      </c>
      <c r="P140" s="200" t="str">
        <f t="shared" si="43"/>
        <v>■</v>
      </c>
      <c r="Q140" s="200" t="str">
        <f t="shared" si="43"/>
        <v>■</v>
      </c>
      <c r="R140" s="200" t="str">
        <f t="shared" si="43"/>
        <v>■</v>
      </c>
      <c r="S140" s="200" t="str">
        <f t="shared" si="43"/>
        <v>■</v>
      </c>
      <c r="T140" s="200" t="str">
        <f t="shared" si="43"/>
        <v>■</v>
      </c>
      <c r="U140" s="200" t="str">
        <f t="shared" si="43"/>
        <v>■</v>
      </c>
      <c r="V140" s="179" t="str">
        <f t="shared" si="43"/>
        <v>■</v>
      </c>
      <c r="AT140" s="235"/>
      <c r="AU140" s="235"/>
      <c r="AV140" s="235"/>
      <c r="AW140" s="235"/>
    </row>
    <row r="141" spans="1:49" ht="22.5" customHeight="1">
      <c r="A141" s="176" t="s">
        <v>28</v>
      </c>
      <c r="B141" s="172" t="s">
        <v>100</v>
      </c>
      <c r="C141" s="173">
        <v>46204</v>
      </c>
      <c r="D141" s="173">
        <v>46264</v>
      </c>
      <c r="E141" s="174" t="str">
        <f t="shared" si="42"/>
        <v/>
      </c>
      <c r="F141" s="174" t="str">
        <f t="shared" si="42"/>
        <v/>
      </c>
      <c r="G141" s="174" t="str">
        <f t="shared" si="42"/>
        <v/>
      </c>
      <c r="H141" s="174" t="str">
        <f t="shared" si="42"/>
        <v/>
      </c>
      <c r="I141" s="174" t="str">
        <f t="shared" si="42"/>
        <v/>
      </c>
      <c r="J141" s="174" t="str">
        <f t="shared" si="42"/>
        <v/>
      </c>
      <c r="K141" s="174" t="str">
        <f t="shared" si="42"/>
        <v/>
      </c>
      <c r="L141" s="174" t="str">
        <f t="shared" si="42"/>
        <v/>
      </c>
      <c r="M141" s="174" t="str">
        <f t="shared" si="42"/>
        <v/>
      </c>
      <c r="N141" s="174" t="str">
        <f t="shared" si="42"/>
        <v>■</v>
      </c>
      <c r="O141" s="174" t="str">
        <f t="shared" si="43"/>
        <v>■</v>
      </c>
      <c r="P141" s="174" t="str">
        <f t="shared" si="43"/>
        <v>■</v>
      </c>
      <c r="Q141" s="174" t="str">
        <f t="shared" si="43"/>
        <v>■</v>
      </c>
      <c r="R141" s="174" t="str">
        <f t="shared" si="43"/>
        <v>■</v>
      </c>
      <c r="S141" s="174" t="str">
        <f t="shared" si="43"/>
        <v>■</v>
      </c>
      <c r="T141" s="174" t="str">
        <f t="shared" si="43"/>
        <v>■</v>
      </c>
      <c r="U141" s="174" t="str">
        <f t="shared" si="43"/>
        <v>■</v>
      </c>
      <c r="V141" s="180" t="str">
        <f t="shared" si="43"/>
        <v>■</v>
      </c>
      <c r="AT141" s="235"/>
      <c r="AU141" s="235"/>
      <c r="AV141" s="235"/>
      <c r="AW141" s="235"/>
    </row>
    <row r="142" spans="1:49" s="208" customFormat="1" ht="22.5" customHeight="1">
      <c r="A142" s="292" t="s">
        <v>298</v>
      </c>
      <c r="B142" s="292"/>
      <c r="C142" s="292"/>
      <c r="D142" s="292"/>
      <c r="E142" s="292"/>
      <c r="F142" s="292"/>
      <c r="G142" s="292"/>
      <c r="H142" s="292"/>
      <c r="I142" s="292"/>
      <c r="J142" s="292"/>
      <c r="K142" s="292"/>
      <c r="L142" s="292"/>
      <c r="M142" s="292"/>
      <c r="N142" s="292"/>
      <c r="O142" s="292"/>
      <c r="P142" s="292"/>
      <c r="Q142" s="292"/>
      <c r="R142" s="292"/>
      <c r="S142" s="292"/>
      <c r="T142" s="292"/>
      <c r="U142" s="292"/>
      <c r="V142" s="292"/>
      <c r="W142" s="209"/>
      <c r="X142" s="294" t="s">
        <v>299</v>
      </c>
      <c r="Y142" s="294"/>
      <c r="Z142" s="294"/>
      <c r="AA142" s="294"/>
      <c r="AB142" s="294"/>
      <c r="AC142" s="294"/>
      <c r="AD142" s="294"/>
      <c r="AE142" s="294"/>
      <c r="AF142" s="294"/>
      <c r="AG142" s="294"/>
      <c r="AH142" s="294"/>
      <c r="AI142" s="294"/>
      <c r="AJ142" s="294"/>
      <c r="AK142" s="294"/>
      <c r="AL142" s="294"/>
      <c r="AM142" s="294"/>
      <c r="AN142" s="294"/>
      <c r="AO142" s="294"/>
      <c r="AP142" s="294"/>
      <c r="AQ142" s="294"/>
      <c r="AR142" s="294"/>
      <c r="AS142" s="294"/>
      <c r="AT142" s="237" t="str" cm="1">
        <f t="array" ref="AT142">_xlfn.LET(_xlpm.mL,A142,_xlpm.aL,B142,_xlpm.mR,X142,_xlpm.aR,Y142,_xlpm.useR,AND(_xlpm.mR&lt;&gt;"",_xlpm.mR&lt;&gt;"Model",LEFT(_xlpm.mR,6)&lt;&gt;"Markt:"),_xlpm.m,IF(_xlpm.useR,_xlpm.mR,_xlpm.mL),_xlpm.a,IF(_xlpm.useR,_xlpm.aR,_xlpm.aL),_xlpm.rng,IF(_xlpm.useR,X$1:X142,A$1:A142),IF(OR(_xlpm.m="",_xlpm.m="Model",LEFT(_xlpm.m,6)="Markt:"),"",_xlfn.LET(_xlpm.mkt,LOOKUP(2,1/(LEFT(_xlpm.rng,6)="Markt:"),_xlpm.rng),_xlpm.mktNameRaw,TRIM(MID(_xlpm.mkt,FIND(":",_xlpm.mkt)+1,99)),_xlpm.mktName,TRIM(SUBSTITUTE(_xlpm.mktNameRaw,"(Survey)","")),_xlfn.XLOOKUP(_xlpm.mktName&amp;"|"&amp;SUBSTITUTE(_xlpm.m," ","")&amp;"|"&amp;_xlpm.a,tblMassnahmen[Key],tblMassnahmen[Kanal],""))))</f>
        <v/>
      </c>
      <c r="AU142" s="237" t="str" cm="1">
        <f t="array" ref="AU142">_xlfn.LET(_xlpm.mL,A142,_xlpm.aL,B142,_xlpm.mR,X142,_xlpm.aR,Y142,_xlpm.useR,AND(_xlpm.mR&lt;&gt;"",_xlpm.mR&lt;&gt;"Model",LEFT(_xlpm.mR,6)&lt;&gt;"Markt:"),_xlpm.m,IF(_xlpm.useR,_xlpm.mR,_xlpm.mL),_xlpm.a,IF(_xlpm.useR,_xlpm.aR,_xlpm.aL),_xlpm.rng,IF(_xlpm.useR,X$1:X142,A$1:A142),IF(OR(_xlpm.m="",_xlpm.m="Model",LEFT(_xlpm.m,6)="Markt:"),"",_xlfn.LET(_xlpm.mkt,LOOKUP(2,1/(LEFT(_xlpm.rng,6)="Markt:"),_xlpm.rng),_xlpm.mktNameRaw,TRIM(MID(_xlpm.mkt,FIND(":",_xlpm.mkt)+1,99)),_xlpm.mktName,TRIM(SUBSTITUTE(_xlpm.mktNameRaw,"(Survey)","")),_xlfn.XLOOKUP(_xlpm.mktName&amp;"|"&amp;SUBSTITUTE(_xlpm.m," ","")&amp;"|"&amp;_xlpm.a,tblMassnahmen[Key],tblMassnahmen[Budget],""))))</f>
        <v/>
      </c>
      <c r="AV142" s="237" t="str" cm="1">
        <f t="array" ref="AV142">_xlfn.LET(_xlpm.mL,A142,_xlpm.aL,B142,_xlpm.mR,X142,_xlpm.aR,Y142,_xlpm.useR,AND(_xlpm.mR&lt;&gt;"",_xlpm.mR&lt;&gt;"Model",LEFT(_xlpm.mR,6)&lt;&gt;"Markt:"),_xlpm.m,IF(_xlpm.useR,_xlpm.mR,_xlpm.mL),_xlpm.a,IF(_xlpm.useR,_xlpm.aR,_xlpm.aL),_xlpm.rng,IF(_xlpm.useR,X$1:X142,A$1:A142),IF(OR(_xlpm.m="",_xlpm.m="Model",LEFT(_xlpm.m,6)="Markt:"),"",_xlfn.LET(_xlpm.mkt,LOOKUP(2,1/(LEFT(_xlpm.rng,6)="Markt:"),_xlpm.rng),_xlpm.mktNameRaw,TRIM(MID(_xlpm.mkt,FIND(":",_xlpm.mkt)+1,99)),_xlpm.mktName,TRIM(SUBSTITUTE(_xlpm.mktNameRaw,"(Survey)","")),_xlfn.XLOOKUP(_xlpm.mktName&amp;"|"&amp;SUBSTITUTE(_xlpm.m," ","")&amp;"|"&amp;_xlpm.a,tblMassnahmen[Key],tblMassnahmen[KPI],""))))</f>
        <v/>
      </c>
      <c r="AW142" s="198"/>
    </row>
    <row r="143" spans="1:49" s="208" customFormat="1" ht="22.5" customHeight="1">
      <c r="A143" s="186" t="s">
        <v>105</v>
      </c>
      <c r="B143" s="187" t="s">
        <v>106</v>
      </c>
      <c r="C143" s="181" t="s">
        <v>95</v>
      </c>
      <c r="D143" s="181" t="s">
        <v>96</v>
      </c>
      <c r="E143" s="184" t="s">
        <v>107</v>
      </c>
      <c r="F143" s="184" t="s">
        <v>108</v>
      </c>
      <c r="G143" s="184" t="s">
        <v>109</v>
      </c>
      <c r="H143" s="184" t="s">
        <v>110</v>
      </c>
      <c r="I143" s="184" t="s">
        <v>111</v>
      </c>
      <c r="J143" s="184" t="s">
        <v>112</v>
      </c>
      <c r="K143" s="184" t="s">
        <v>113</v>
      </c>
      <c r="L143" s="184" t="s">
        <v>114</v>
      </c>
      <c r="M143" s="184" t="s">
        <v>115</v>
      </c>
      <c r="N143" s="184" t="s">
        <v>116</v>
      </c>
      <c r="O143" s="184" t="s">
        <v>117</v>
      </c>
      <c r="P143" s="184" t="s">
        <v>118</v>
      </c>
      <c r="Q143" s="184" t="s">
        <v>119</v>
      </c>
      <c r="R143" s="184" t="s">
        <v>120</v>
      </c>
      <c r="S143" s="184" t="s">
        <v>121</v>
      </c>
      <c r="T143" s="184" t="s">
        <v>122</v>
      </c>
      <c r="U143" s="184" t="s">
        <v>123</v>
      </c>
      <c r="V143" s="185" t="s">
        <v>124</v>
      </c>
      <c r="W143" s="209"/>
      <c r="X143" s="219" t="s">
        <v>105</v>
      </c>
      <c r="Y143" s="220" t="s">
        <v>125</v>
      </c>
      <c r="Z143" s="184" t="s">
        <v>95</v>
      </c>
      <c r="AA143" s="184" t="s">
        <v>96</v>
      </c>
      <c r="AB143" s="184" t="s">
        <v>107</v>
      </c>
      <c r="AC143" s="184" t="s">
        <v>108</v>
      </c>
      <c r="AD143" s="184" t="s">
        <v>109</v>
      </c>
      <c r="AE143" s="184" t="s">
        <v>110</v>
      </c>
      <c r="AF143" s="184" t="s">
        <v>111</v>
      </c>
      <c r="AG143" s="184" t="s">
        <v>112</v>
      </c>
      <c r="AH143" s="184" t="s">
        <v>113</v>
      </c>
      <c r="AI143" s="184" t="s">
        <v>114</v>
      </c>
      <c r="AJ143" s="184" t="s">
        <v>115</v>
      </c>
      <c r="AK143" s="184" t="s">
        <v>116</v>
      </c>
      <c r="AL143" s="184" t="s">
        <v>117</v>
      </c>
      <c r="AM143" s="184" t="s">
        <v>118</v>
      </c>
      <c r="AN143" s="184" t="s">
        <v>119</v>
      </c>
      <c r="AO143" s="184" t="s">
        <v>120</v>
      </c>
      <c r="AP143" s="184" t="s">
        <v>121</v>
      </c>
      <c r="AQ143" s="184" t="s">
        <v>122</v>
      </c>
      <c r="AR143" s="184" t="s">
        <v>123</v>
      </c>
      <c r="AS143" s="185" t="s">
        <v>124</v>
      </c>
      <c r="AT143" s="238" t="s">
        <v>126</v>
      </c>
      <c r="AU143" s="238" t="s">
        <v>127</v>
      </c>
      <c r="AV143" s="238" t="s">
        <v>128</v>
      </c>
      <c r="AW143" s="238" t="s">
        <v>129</v>
      </c>
    </row>
    <row r="144" spans="1:49" ht="22.5" customHeight="1">
      <c r="A144" s="175" t="s">
        <v>20</v>
      </c>
      <c r="B144" s="169" t="s">
        <v>97</v>
      </c>
      <c r="C144" s="170">
        <v>46143</v>
      </c>
      <c r="D144" s="170">
        <v>46264</v>
      </c>
      <c r="E144" s="199" t="str">
        <f t="shared" ref="E144:N152" si="46">IFERROR(IF(OR($A144="",$A144="Model",LEFT($A144,5)="Markt"),"",IF(AND($C144&lt;=E$3+6,$D144&gt;=E$3),"■","")),"")</f>
        <v>■</v>
      </c>
      <c r="F144" s="199" t="str">
        <f t="shared" si="46"/>
        <v>■</v>
      </c>
      <c r="G144" s="199" t="str">
        <f t="shared" si="46"/>
        <v>■</v>
      </c>
      <c r="H144" s="199" t="str">
        <f t="shared" si="46"/>
        <v>■</v>
      </c>
      <c r="I144" s="199" t="str">
        <f t="shared" si="46"/>
        <v>■</v>
      </c>
      <c r="J144" s="199" t="str">
        <f t="shared" si="46"/>
        <v>■</v>
      </c>
      <c r="K144" s="199" t="str">
        <f t="shared" si="46"/>
        <v>■</v>
      </c>
      <c r="L144" s="199" t="str">
        <f t="shared" si="46"/>
        <v>■</v>
      </c>
      <c r="M144" s="199" t="str">
        <f t="shared" si="46"/>
        <v>■</v>
      </c>
      <c r="N144" s="199" t="str">
        <f t="shared" si="46"/>
        <v>■</v>
      </c>
      <c r="O144" s="199" t="str">
        <f t="shared" ref="O144:V152" si="47">IFERROR(IF(OR($A144="",$A144="Model",LEFT($A144,5)="Markt"),"",IF(AND($C144&lt;=O$3+6,$D144&gt;=O$3),"■","")),"")</f>
        <v>■</v>
      </c>
      <c r="P144" s="199" t="str">
        <f t="shared" si="47"/>
        <v>■</v>
      </c>
      <c r="Q144" s="199" t="str">
        <f t="shared" si="47"/>
        <v>■</v>
      </c>
      <c r="R144" s="199" t="str">
        <f t="shared" si="47"/>
        <v>■</v>
      </c>
      <c r="S144" s="199" t="str">
        <f t="shared" si="47"/>
        <v>■</v>
      </c>
      <c r="T144" s="199" t="str">
        <f t="shared" si="47"/>
        <v>■</v>
      </c>
      <c r="U144" s="199" t="str">
        <f t="shared" si="47"/>
        <v>■</v>
      </c>
      <c r="V144" s="177" t="str">
        <f t="shared" si="47"/>
        <v>■</v>
      </c>
      <c r="X144" s="211" t="s">
        <v>133</v>
      </c>
      <c r="Y144" s="214" t="s">
        <v>300</v>
      </c>
      <c r="Z144" s="215">
        <v>46138</v>
      </c>
      <c r="AA144" s="215">
        <v>46180</v>
      </c>
      <c r="AB144" s="199" t="str">
        <f t="shared" ref="AB144:AK145" si="48">IF(AND($Z144&lt;=(AB$3+6),$AA144&gt;=AB$3),"■","")</f>
        <v>■</v>
      </c>
      <c r="AC144" s="199" t="str">
        <f t="shared" si="48"/>
        <v>■</v>
      </c>
      <c r="AD144" s="199" t="str">
        <f t="shared" si="48"/>
        <v>■</v>
      </c>
      <c r="AE144" s="199" t="str">
        <f t="shared" si="48"/>
        <v>■</v>
      </c>
      <c r="AF144" s="199" t="str">
        <f t="shared" si="48"/>
        <v>■</v>
      </c>
      <c r="AG144" s="199" t="str">
        <f t="shared" si="48"/>
        <v>■</v>
      </c>
      <c r="AH144" s="199" t="str">
        <f t="shared" si="48"/>
        <v/>
      </c>
      <c r="AI144" s="199" t="str">
        <f t="shared" si="48"/>
        <v/>
      </c>
      <c r="AJ144" s="199" t="str">
        <f t="shared" si="48"/>
        <v/>
      </c>
      <c r="AK144" s="199" t="str">
        <f t="shared" si="48"/>
        <v/>
      </c>
      <c r="AL144" s="199" t="str">
        <f t="shared" ref="AL144:AS145" si="49">IF(AND($Z144&lt;=(AL$3+6),$AA144&gt;=AL$3),"■","")</f>
        <v/>
      </c>
      <c r="AM144" s="199" t="str">
        <f t="shared" si="49"/>
        <v/>
      </c>
      <c r="AN144" s="199" t="str">
        <f t="shared" si="49"/>
        <v/>
      </c>
      <c r="AO144" s="199" t="str">
        <f t="shared" si="49"/>
        <v/>
      </c>
      <c r="AP144" s="199" t="str">
        <f t="shared" si="49"/>
        <v/>
      </c>
      <c r="AQ144" s="199" t="str">
        <f t="shared" si="49"/>
        <v/>
      </c>
      <c r="AR144" s="199" t="str">
        <f t="shared" si="49"/>
        <v/>
      </c>
      <c r="AS144" s="177" t="str">
        <f t="shared" si="49"/>
        <v/>
      </c>
      <c r="AT144" s="235" t="s">
        <v>138</v>
      </c>
      <c r="AU144" s="235">
        <v>27341</v>
      </c>
      <c r="AV144" s="235" t="s">
        <v>265</v>
      </c>
      <c r="AW144" s="235" t="s">
        <v>301</v>
      </c>
    </row>
    <row r="145" spans="1:49" ht="22.5" customHeight="1">
      <c r="A145" s="175" t="s">
        <v>20</v>
      </c>
      <c r="B145" s="169" t="s">
        <v>99</v>
      </c>
      <c r="C145" s="170">
        <v>46143</v>
      </c>
      <c r="D145" s="170">
        <v>46264</v>
      </c>
      <c r="E145" s="199" t="str">
        <f t="shared" si="46"/>
        <v>■</v>
      </c>
      <c r="F145" s="199" t="str">
        <f t="shared" si="46"/>
        <v>■</v>
      </c>
      <c r="G145" s="199" t="str">
        <f t="shared" si="46"/>
        <v>■</v>
      </c>
      <c r="H145" s="199" t="str">
        <f t="shared" si="46"/>
        <v>■</v>
      </c>
      <c r="I145" s="199" t="str">
        <f t="shared" si="46"/>
        <v>■</v>
      </c>
      <c r="J145" s="199" t="str">
        <f t="shared" si="46"/>
        <v>■</v>
      </c>
      <c r="K145" s="199" t="str">
        <f t="shared" si="46"/>
        <v>■</v>
      </c>
      <c r="L145" s="199" t="str">
        <f t="shared" si="46"/>
        <v>■</v>
      </c>
      <c r="M145" s="199" t="str">
        <f t="shared" si="46"/>
        <v>■</v>
      </c>
      <c r="N145" s="199" t="str">
        <f t="shared" si="46"/>
        <v>■</v>
      </c>
      <c r="O145" s="199" t="str">
        <f t="shared" si="47"/>
        <v>■</v>
      </c>
      <c r="P145" s="199" t="str">
        <f t="shared" si="47"/>
        <v>■</v>
      </c>
      <c r="Q145" s="199" t="str">
        <f t="shared" si="47"/>
        <v>■</v>
      </c>
      <c r="R145" s="199" t="str">
        <f t="shared" si="47"/>
        <v>■</v>
      </c>
      <c r="S145" s="199" t="str">
        <f t="shared" si="47"/>
        <v>■</v>
      </c>
      <c r="T145" s="199" t="str">
        <f t="shared" si="47"/>
        <v>■</v>
      </c>
      <c r="U145" s="199" t="str">
        <f t="shared" si="47"/>
        <v>■</v>
      </c>
      <c r="V145" s="177" t="str">
        <f t="shared" si="47"/>
        <v>■</v>
      </c>
      <c r="X145" s="212" t="s">
        <v>22</v>
      </c>
      <c r="Y145" s="213" t="s">
        <v>302</v>
      </c>
      <c r="Z145" s="240">
        <v>46082</v>
      </c>
      <c r="AA145" s="240">
        <v>46128</v>
      </c>
      <c r="AB145" s="193" t="str">
        <f t="shared" si="48"/>
        <v/>
      </c>
      <c r="AC145" s="193" t="str">
        <f t="shared" si="48"/>
        <v/>
      </c>
      <c r="AD145" s="193" t="str">
        <f t="shared" si="48"/>
        <v/>
      </c>
      <c r="AE145" s="193" t="str">
        <f t="shared" si="48"/>
        <v/>
      </c>
      <c r="AF145" s="193" t="str">
        <f t="shared" si="48"/>
        <v/>
      </c>
      <c r="AG145" s="193" t="str">
        <f t="shared" si="48"/>
        <v/>
      </c>
      <c r="AH145" s="193" t="str">
        <f t="shared" si="48"/>
        <v/>
      </c>
      <c r="AI145" s="193" t="str">
        <f t="shared" si="48"/>
        <v/>
      </c>
      <c r="AJ145" s="193" t="str">
        <f t="shared" si="48"/>
        <v/>
      </c>
      <c r="AK145" s="193" t="str">
        <f t="shared" si="48"/>
        <v/>
      </c>
      <c r="AL145" s="193" t="str">
        <f t="shared" si="49"/>
        <v/>
      </c>
      <c r="AM145" s="193" t="str">
        <f t="shared" si="49"/>
        <v/>
      </c>
      <c r="AN145" s="193" t="str">
        <f t="shared" si="49"/>
        <v/>
      </c>
      <c r="AO145" s="193" t="str">
        <f t="shared" si="49"/>
        <v/>
      </c>
      <c r="AP145" s="193" t="str">
        <f t="shared" si="49"/>
        <v/>
      </c>
      <c r="AQ145" s="193" t="str">
        <f t="shared" si="49"/>
        <v/>
      </c>
      <c r="AR145" s="193" t="str">
        <f t="shared" si="49"/>
        <v/>
      </c>
      <c r="AS145" s="194" t="str">
        <f t="shared" si="49"/>
        <v/>
      </c>
      <c r="AT145" s="235" t="s">
        <v>138</v>
      </c>
      <c r="AU145" s="235">
        <v>141841</v>
      </c>
      <c r="AV145" s="235" t="s">
        <v>265</v>
      </c>
      <c r="AW145" s="235" t="s">
        <v>303</v>
      </c>
    </row>
    <row r="146" spans="1:49" ht="22.5" customHeight="1">
      <c r="A146" s="175" t="s">
        <v>20</v>
      </c>
      <c r="B146" s="169" t="s">
        <v>100</v>
      </c>
      <c r="C146" s="170">
        <v>46204</v>
      </c>
      <c r="D146" s="170">
        <v>46264</v>
      </c>
      <c r="E146" s="199" t="str">
        <f t="shared" si="46"/>
        <v/>
      </c>
      <c r="F146" s="199" t="str">
        <f t="shared" si="46"/>
        <v/>
      </c>
      <c r="G146" s="199" t="str">
        <f t="shared" si="46"/>
        <v/>
      </c>
      <c r="H146" s="199" t="str">
        <f t="shared" si="46"/>
        <v/>
      </c>
      <c r="I146" s="199" t="str">
        <f t="shared" si="46"/>
        <v/>
      </c>
      <c r="J146" s="199" t="str">
        <f t="shared" si="46"/>
        <v/>
      </c>
      <c r="K146" s="199" t="str">
        <f t="shared" si="46"/>
        <v/>
      </c>
      <c r="L146" s="199" t="str">
        <f t="shared" si="46"/>
        <v/>
      </c>
      <c r="M146" s="199" t="str">
        <f t="shared" si="46"/>
        <v/>
      </c>
      <c r="N146" s="199" t="str">
        <f t="shared" si="46"/>
        <v>■</v>
      </c>
      <c r="O146" s="199" t="str">
        <f t="shared" si="47"/>
        <v>■</v>
      </c>
      <c r="P146" s="199" t="str">
        <f t="shared" si="47"/>
        <v>■</v>
      </c>
      <c r="Q146" s="199" t="str">
        <f t="shared" si="47"/>
        <v>■</v>
      </c>
      <c r="R146" s="199" t="str">
        <f t="shared" si="47"/>
        <v>■</v>
      </c>
      <c r="S146" s="199" t="str">
        <f t="shared" si="47"/>
        <v>■</v>
      </c>
      <c r="T146" s="199" t="str">
        <f t="shared" si="47"/>
        <v>■</v>
      </c>
      <c r="U146" s="199" t="str">
        <f t="shared" si="47"/>
        <v>■</v>
      </c>
      <c r="V146" s="177" t="str">
        <f t="shared" si="47"/>
        <v>■</v>
      </c>
      <c r="X146" s="214"/>
      <c r="Y146" s="214"/>
      <c r="Z146" s="170"/>
      <c r="AA146" s="170"/>
      <c r="AB146" s="171"/>
      <c r="AC146" s="171"/>
      <c r="AD146" s="171"/>
      <c r="AE146" s="171"/>
      <c r="AF146" s="171"/>
      <c r="AG146" s="171"/>
      <c r="AH146" s="171"/>
      <c r="AI146" s="171"/>
      <c r="AJ146" s="171"/>
      <c r="AK146" s="171"/>
      <c r="AL146" s="171"/>
      <c r="AM146" s="171"/>
      <c r="AN146" s="171"/>
      <c r="AO146" s="171"/>
      <c r="AP146" s="171"/>
      <c r="AQ146" s="171"/>
      <c r="AR146" s="171"/>
      <c r="AS146" s="171"/>
      <c r="AT146" s="235"/>
      <c r="AU146" s="235"/>
      <c r="AV146" s="235"/>
      <c r="AW146" s="235"/>
    </row>
    <row r="147" spans="1:49" ht="22.5" customHeight="1">
      <c r="A147" s="175" t="s">
        <v>22</v>
      </c>
      <c r="B147" s="169" t="s">
        <v>97</v>
      </c>
      <c r="C147" s="170">
        <v>46174</v>
      </c>
      <c r="D147" s="170">
        <v>46264</v>
      </c>
      <c r="E147" s="171" t="str">
        <f t="shared" si="46"/>
        <v/>
      </c>
      <c r="F147" s="171" t="str">
        <f t="shared" si="46"/>
        <v/>
      </c>
      <c r="G147" s="171" t="str">
        <f t="shared" si="46"/>
        <v/>
      </c>
      <c r="H147" s="171" t="str">
        <f t="shared" si="46"/>
        <v/>
      </c>
      <c r="I147" s="171" t="str">
        <f t="shared" si="46"/>
        <v/>
      </c>
      <c r="J147" s="171" t="str">
        <f t="shared" si="46"/>
        <v>■</v>
      </c>
      <c r="K147" s="171" t="str">
        <f t="shared" si="46"/>
        <v>■</v>
      </c>
      <c r="L147" s="171" t="str">
        <f t="shared" si="46"/>
        <v>■</v>
      </c>
      <c r="M147" s="171" t="str">
        <f t="shared" si="46"/>
        <v>■</v>
      </c>
      <c r="N147" s="171" t="str">
        <f t="shared" si="46"/>
        <v>■</v>
      </c>
      <c r="O147" s="171" t="str">
        <f t="shared" si="47"/>
        <v>■</v>
      </c>
      <c r="P147" s="171" t="str">
        <f t="shared" si="47"/>
        <v>■</v>
      </c>
      <c r="Q147" s="171" t="str">
        <f t="shared" si="47"/>
        <v>■</v>
      </c>
      <c r="R147" s="171" t="str">
        <f t="shared" si="47"/>
        <v>■</v>
      </c>
      <c r="S147" s="171" t="str">
        <f t="shared" si="47"/>
        <v>■</v>
      </c>
      <c r="T147" s="171" t="str">
        <f t="shared" si="47"/>
        <v>■</v>
      </c>
      <c r="U147" s="171" t="str">
        <f t="shared" si="47"/>
        <v>■</v>
      </c>
      <c r="V147" s="178" t="str">
        <f t="shared" si="47"/>
        <v>■</v>
      </c>
      <c r="X147" s="214"/>
      <c r="Y147" s="214"/>
      <c r="Z147" s="170"/>
      <c r="AA147" s="170"/>
      <c r="AB147" s="171"/>
      <c r="AC147" s="171"/>
      <c r="AD147" s="171"/>
      <c r="AE147" s="171"/>
      <c r="AF147" s="171"/>
      <c r="AG147" s="171"/>
      <c r="AH147" s="171"/>
      <c r="AI147" s="171"/>
      <c r="AJ147" s="171"/>
      <c r="AK147" s="171"/>
      <c r="AL147" s="171"/>
      <c r="AM147" s="171"/>
      <c r="AN147" s="171"/>
      <c r="AO147" s="171"/>
      <c r="AP147" s="171"/>
      <c r="AQ147" s="171"/>
      <c r="AR147" s="171"/>
      <c r="AS147" s="171"/>
      <c r="AT147" s="235"/>
      <c r="AU147" s="235"/>
      <c r="AV147" s="235"/>
      <c r="AW147" s="235"/>
    </row>
    <row r="148" spans="1:49" ht="22.5" customHeight="1">
      <c r="A148" s="175" t="s">
        <v>22</v>
      </c>
      <c r="B148" s="169" t="s">
        <v>99</v>
      </c>
      <c r="C148" s="170">
        <v>46143</v>
      </c>
      <c r="D148" s="170">
        <v>46264</v>
      </c>
      <c r="E148" s="171" t="str">
        <f t="shared" si="46"/>
        <v>■</v>
      </c>
      <c r="F148" s="171" t="str">
        <f t="shared" si="46"/>
        <v>■</v>
      </c>
      <c r="G148" s="171" t="str">
        <f t="shared" si="46"/>
        <v>■</v>
      </c>
      <c r="H148" s="171" t="str">
        <f t="shared" si="46"/>
        <v>■</v>
      </c>
      <c r="I148" s="171" t="str">
        <f t="shared" si="46"/>
        <v>■</v>
      </c>
      <c r="J148" s="171" t="str">
        <f t="shared" si="46"/>
        <v>■</v>
      </c>
      <c r="K148" s="171" t="str">
        <f t="shared" si="46"/>
        <v>■</v>
      </c>
      <c r="L148" s="171" t="str">
        <f t="shared" si="46"/>
        <v>■</v>
      </c>
      <c r="M148" s="171" t="str">
        <f t="shared" si="46"/>
        <v>■</v>
      </c>
      <c r="N148" s="171" t="str">
        <f t="shared" si="46"/>
        <v>■</v>
      </c>
      <c r="O148" s="171" t="str">
        <f t="shared" si="47"/>
        <v>■</v>
      </c>
      <c r="P148" s="171" t="str">
        <f t="shared" si="47"/>
        <v>■</v>
      </c>
      <c r="Q148" s="171" t="str">
        <f t="shared" si="47"/>
        <v>■</v>
      </c>
      <c r="R148" s="171" t="str">
        <f t="shared" si="47"/>
        <v>■</v>
      </c>
      <c r="S148" s="171" t="str">
        <f t="shared" si="47"/>
        <v>■</v>
      </c>
      <c r="T148" s="171" t="str">
        <f t="shared" si="47"/>
        <v>■</v>
      </c>
      <c r="U148" s="171" t="str">
        <f t="shared" si="47"/>
        <v>■</v>
      </c>
      <c r="V148" s="178" t="str">
        <f t="shared" si="47"/>
        <v>■</v>
      </c>
      <c r="X148" s="214"/>
      <c r="Y148" s="214"/>
      <c r="Z148" s="170"/>
      <c r="AA148" s="170"/>
      <c r="AB148" s="171"/>
      <c r="AC148" s="171"/>
      <c r="AD148" s="171"/>
      <c r="AE148" s="171"/>
      <c r="AF148" s="171"/>
      <c r="AG148" s="171"/>
      <c r="AH148" s="171"/>
      <c r="AI148" s="171"/>
      <c r="AJ148" s="171"/>
      <c r="AK148" s="171"/>
      <c r="AL148" s="171"/>
      <c r="AM148" s="171"/>
      <c r="AN148" s="171"/>
      <c r="AO148" s="171"/>
      <c r="AP148" s="171"/>
      <c r="AQ148" s="171"/>
      <c r="AR148" s="171"/>
      <c r="AS148" s="171"/>
      <c r="AT148" s="235"/>
      <c r="AU148" s="235"/>
      <c r="AV148" s="235"/>
      <c r="AW148" s="235"/>
    </row>
    <row r="149" spans="1:49" ht="22.5" customHeight="1">
      <c r="A149" s="175" t="s">
        <v>22</v>
      </c>
      <c r="B149" s="169" t="s">
        <v>100</v>
      </c>
      <c r="C149" s="170">
        <v>46204</v>
      </c>
      <c r="D149" s="170">
        <v>46264</v>
      </c>
      <c r="E149" s="171" t="str">
        <f t="shared" si="46"/>
        <v/>
      </c>
      <c r="F149" s="171" t="str">
        <f t="shared" si="46"/>
        <v/>
      </c>
      <c r="G149" s="171" t="str">
        <f t="shared" si="46"/>
        <v/>
      </c>
      <c r="H149" s="171" t="str">
        <f t="shared" si="46"/>
        <v/>
      </c>
      <c r="I149" s="171" t="str">
        <f t="shared" si="46"/>
        <v/>
      </c>
      <c r="J149" s="171" t="str">
        <f t="shared" si="46"/>
        <v/>
      </c>
      <c r="K149" s="171" t="str">
        <f t="shared" si="46"/>
        <v/>
      </c>
      <c r="L149" s="171" t="str">
        <f t="shared" si="46"/>
        <v/>
      </c>
      <c r="M149" s="171" t="str">
        <f t="shared" si="46"/>
        <v/>
      </c>
      <c r="N149" s="171" t="str">
        <f t="shared" si="46"/>
        <v>■</v>
      </c>
      <c r="O149" s="171" t="str">
        <f t="shared" si="47"/>
        <v>■</v>
      </c>
      <c r="P149" s="171" t="str">
        <f t="shared" si="47"/>
        <v>■</v>
      </c>
      <c r="Q149" s="171" t="str">
        <f t="shared" si="47"/>
        <v>■</v>
      </c>
      <c r="R149" s="171" t="str">
        <f t="shared" si="47"/>
        <v>■</v>
      </c>
      <c r="S149" s="171" t="str">
        <f t="shared" si="47"/>
        <v>■</v>
      </c>
      <c r="T149" s="171" t="str">
        <f t="shared" si="47"/>
        <v>■</v>
      </c>
      <c r="U149" s="171" t="str">
        <f t="shared" si="47"/>
        <v>■</v>
      </c>
      <c r="V149" s="178" t="str">
        <f t="shared" si="47"/>
        <v>■</v>
      </c>
      <c r="X149" s="214"/>
      <c r="Y149" s="214"/>
      <c r="Z149" s="170"/>
      <c r="AA149" s="170"/>
      <c r="AB149" s="171"/>
      <c r="AC149" s="171"/>
      <c r="AD149" s="171"/>
      <c r="AE149" s="171"/>
      <c r="AF149" s="171"/>
      <c r="AG149" s="171"/>
      <c r="AH149" s="171"/>
      <c r="AI149" s="171"/>
      <c r="AJ149" s="171"/>
      <c r="AK149" s="171"/>
      <c r="AL149" s="171"/>
      <c r="AM149" s="171"/>
      <c r="AN149" s="171"/>
      <c r="AO149" s="171"/>
      <c r="AP149" s="171"/>
      <c r="AQ149" s="171"/>
      <c r="AR149" s="171"/>
      <c r="AS149" s="171"/>
      <c r="AT149" s="235"/>
      <c r="AU149" s="235"/>
      <c r="AV149" s="235"/>
      <c r="AW149" s="235"/>
    </row>
    <row r="150" spans="1:49" ht="22.5" customHeight="1">
      <c r="A150" s="175" t="s">
        <v>28</v>
      </c>
      <c r="B150" s="169" t="s">
        <v>97</v>
      </c>
      <c r="C150" s="170">
        <v>46143</v>
      </c>
      <c r="D150" s="170">
        <v>46264</v>
      </c>
      <c r="E150" s="200" t="str">
        <f t="shared" si="46"/>
        <v>■</v>
      </c>
      <c r="F150" s="200" t="str">
        <f t="shared" si="46"/>
        <v>■</v>
      </c>
      <c r="G150" s="200" t="str">
        <f t="shared" si="46"/>
        <v>■</v>
      </c>
      <c r="H150" s="200" t="str">
        <f t="shared" si="46"/>
        <v>■</v>
      </c>
      <c r="I150" s="200" t="str">
        <f t="shared" si="46"/>
        <v>■</v>
      </c>
      <c r="J150" s="200" t="str">
        <f t="shared" si="46"/>
        <v>■</v>
      </c>
      <c r="K150" s="200" t="str">
        <f t="shared" si="46"/>
        <v>■</v>
      </c>
      <c r="L150" s="200" t="str">
        <f t="shared" si="46"/>
        <v>■</v>
      </c>
      <c r="M150" s="200" t="str">
        <f t="shared" si="46"/>
        <v>■</v>
      </c>
      <c r="N150" s="200" t="str">
        <f t="shared" si="46"/>
        <v>■</v>
      </c>
      <c r="O150" s="200" t="str">
        <f t="shared" si="47"/>
        <v>■</v>
      </c>
      <c r="P150" s="200" t="str">
        <f t="shared" si="47"/>
        <v>■</v>
      </c>
      <c r="Q150" s="200" t="str">
        <f t="shared" si="47"/>
        <v>■</v>
      </c>
      <c r="R150" s="200" t="str">
        <f t="shared" si="47"/>
        <v>■</v>
      </c>
      <c r="S150" s="200" t="str">
        <f t="shared" si="47"/>
        <v>■</v>
      </c>
      <c r="T150" s="200" t="str">
        <f t="shared" si="47"/>
        <v>■</v>
      </c>
      <c r="U150" s="200" t="str">
        <f t="shared" si="47"/>
        <v>■</v>
      </c>
      <c r="V150" s="179" t="str">
        <f t="shared" si="47"/>
        <v>■</v>
      </c>
      <c r="X150" s="214"/>
      <c r="Y150" s="214"/>
      <c r="Z150" s="170"/>
      <c r="AA150" s="170"/>
      <c r="AB150" s="171"/>
      <c r="AC150" s="171"/>
      <c r="AD150" s="171"/>
      <c r="AE150" s="171"/>
      <c r="AF150" s="171"/>
      <c r="AG150" s="171"/>
      <c r="AH150" s="171"/>
      <c r="AI150" s="171"/>
      <c r="AJ150" s="171"/>
      <c r="AK150" s="171"/>
      <c r="AL150" s="171"/>
      <c r="AM150" s="171"/>
      <c r="AN150" s="171"/>
      <c r="AO150" s="171"/>
      <c r="AP150" s="171"/>
      <c r="AQ150" s="171"/>
      <c r="AR150" s="171"/>
      <c r="AS150" s="171"/>
      <c r="AT150" s="235"/>
      <c r="AU150" s="235"/>
      <c r="AV150" s="235"/>
      <c r="AW150" s="235"/>
    </row>
    <row r="151" spans="1:49" ht="22.5" customHeight="1">
      <c r="A151" s="175" t="s">
        <v>28</v>
      </c>
      <c r="B151" s="169" t="s">
        <v>99</v>
      </c>
      <c r="C151" s="170">
        <v>46204</v>
      </c>
      <c r="D151" s="170">
        <v>46264</v>
      </c>
      <c r="E151" s="200" t="str">
        <f t="shared" si="46"/>
        <v/>
      </c>
      <c r="F151" s="200" t="str">
        <f t="shared" si="46"/>
        <v/>
      </c>
      <c r="G151" s="200" t="str">
        <f t="shared" si="46"/>
        <v/>
      </c>
      <c r="H151" s="200" t="str">
        <f t="shared" si="46"/>
        <v/>
      </c>
      <c r="I151" s="200" t="str">
        <f t="shared" si="46"/>
        <v/>
      </c>
      <c r="J151" s="200" t="str">
        <f t="shared" si="46"/>
        <v/>
      </c>
      <c r="K151" s="200" t="str">
        <f t="shared" si="46"/>
        <v/>
      </c>
      <c r="L151" s="200" t="str">
        <f t="shared" si="46"/>
        <v/>
      </c>
      <c r="M151" s="200" t="str">
        <f t="shared" si="46"/>
        <v/>
      </c>
      <c r="N151" s="200" t="str">
        <f t="shared" si="46"/>
        <v>■</v>
      </c>
      <c r="O151" s="200" t="str">
        <f t="shared" si="47"/>
        <v>■</v>
      </c>
      <c r="P151" s="200" t="str">
        <f t="shared" si="47"/>
        <v>■</v>
      </c>
      <c r="Q151" s="200" t="str">
        <f t="shared" si="47"/>
        <v>■</v>
      </c>
      <c r="R151" s="200" t="str">
        <f t="shared" si="47"/>
        <v>■</v>
      </c>
      <c r="S151" s="200" t="str">
        <f t="shared" si="47"/>
        <v>■</v>
      </c>
      <c r="T151" s="200" t="str">
        <f t="shared" si="47"/>
        <v>■</v>
      </c>
      <c r="U151" s="200" t="str">
        <f t="shared" si="47"/>
        <v>■</v>
      </c>
      <c r="V151" s="179" t="str">
        <f t="shared" si="47"/>
        <v>■</v>
      </c>
      <c r="X151" s="214"/>
      <c r="Y151" s="214"/>
      <c r="Z151" s="170"/>
      <c r="AA151" s="170"/>
      <c r="AB151" s="171"/>
      <c r="AC151" s="171"/>
      <c r="AD151" s="171"/>
      <c r="AE151" s="171"/>
      <c r="AF151" s="171"/>
      <c r="AG151" s="171"/>
      <c r="AH151" s="171"/>
      <c r="AI151" s="171"/>
      <c r="AJ151" s="171"/>
      <c r="AK151" s="171"/>
      <c r="AL151" s="171"/>
      <c r="AM151" s="171"/>
      <c r="AN151" s="171"/>
      <c r="AO151" s="171"/>
      <c r="AP151" s="171"/>
      <c r="AQ151" s="171"/>
      <c r="AR151" s="171"/>
      <c r="AS151" s="171"/>
      <c r="AT151" s="235"/>
      <c r="AU151" s="235"/>
      <c r="AV151" s="235"/>
      <c r="AW151" s="235"/>
    </row>
    <row r="152" spans="1:49" ht="22.5" customHeight="1">
      <c r="A152" s="176" t="s">
        <v>28</v>
      </c>
      <c r="B152" s="172" t="s">
        <v>100</v>
      </c>
      <c r="C152" s="173">
        <v>46204</v>
      </c>
      <c r="D152" s="173">
        <v>46264</v>
      </c>
      <c r="E152" s="174" t="str">
        <f t="shared" si="46"/>
        <v/>
      </c>
      <c r="F152" s="174" t="str">
        <f t="shared" si="46"/>
        <v/>
      </c>
      <c r="G152" s="174" t="str">
        <f t="shared" si="46"/>
        <v/>
      </c>
      <c r="H152" s="174" t="str">
        <f t="shared" si="46"/>
        <v/>
      </c>
      <c r="I152" s="174" t="str">
        <f t="shared" si="46"/>
        <v/>
      </c>
      <c r="J152" s="174" t="str">
        <f t="shared" si="46"/>
        <v/>
      </c>
      <c r="K152" s="174" t="str">
        <f t="shared" si="46"/>
        <v/>
      </c>
      <c r="L152" s="174" t="str">
        <f t="shared" si="46"/>
        <v/>
      </c>
      <c r="M152" s="174" t="str">
        <f t="shared" si="46"/>
        <v/>
      </c>
      <c r="N152" s="174" t="str">
        <f t="shared" si="46"/>
        <v>■</v>
      </c>
      <c r="O152" s="174" t="str">
        <f t="shared" si="47"/>
        <v>■</v>
      </c>
      <c r="P152" s="174" t="str">
        <f t="shared" si="47"/>
        <v>■</v>
      </c>
      <c r="Q152" s="174" t="str">
        <f t="shared" si="47"/>
        <v>■</v>
      </c>
      <c r="R152" s="174" t="str">
        <f t="shared" si="47"/>
        <v>■</v>
      </c>
      <c r="S152" s="174" t="str">
        <f t="shared" si="47"/>
        <v>■</v>
      </c>
      <c r="T152" s="174" t="str">
        <f t="shared" si="47"/>
        <v>■</v>
      </c>
      <c r="U152" s="174" t="str">
        <f t="shared" si="47"/>
        <v>■</v>
      </c>
      <c r="V152" s="180" t="str">
        <f t="shared" si="47"/>
        <v>■</v>
      </c>
      <c r="X152" s="214"/>
      <c r="Y152" s="214"/>
      <c r="Z152" s="170"/>
      <c r="AA152" s="170"/>
      <c r="AB152" s="171"/>
      <c r="AC152" s="171"/>
      <c r="AD152" s="171"/>
      <c r="AE152" s="171"/>
      <c r="AF152" s="171"/>
      <c r="AG152" s="171"/>
      <c r="AH152" s="171"/>
      <c r="AI152" s="171"/>
      <c r="AJ152" s="171"/>
      <c r="AK152" s="171"/>
      <c r="AL152" s="171"/>
      <c r="AM152" s="171"/>
      <c r="AN152" s="171"/>
      <c r="AO152" s="171"/>
      <c r="AP152" s="171"/>
      <c r="AQ152" s="171"/>
      <c r="AR152" s="171"/>
      <c r="AS152" s="171"/>
      <c r="AT152" s="235"/>
      <c r="AU152" s="235"/>
      <c r="AV152" s="235"/>
      <c r="AW152" s="235"/>
    </row>
    <row r="153" spans="1:49" s="208" customFormat="1" ht="22.5" customHeight="1">
      <c r="A153" s="292" t="s">
        <v>304</v>
      </c>
      <c r="B153" s="292"/>
      <c r="C153" s="292"/>
      <c r="D153" s="292"/>
      <c r="E153" s="292"/>
      <c r="F153" s="292"/>
      <c r="G153" s="292"/>
      <c r="H153" s="292"/>
      <c r="I153" s="292"/>
      <c r="J153" s="292"/>
      <c r="K153" s="292"/>
      <c r="L153" s="292"/>
      <c r="M153" s="292"/>
      <c r="N153" s="292"/>
      <c r="O153" s="292"/>
      <c r="P153" s="292"/>
      <c r="Q153" s="292"/>
      <c r="R153" s="292"/>
      <c r="S153" s="292"/>
      <c r="T153" s="292"/>
      <c r="U153" s="292"/>
      <c r="V153" s="292"/>
      <c r="W153" s="209"/>
      <c r="X153" s="294" t="s">
        <v>305</v>
      </c>
      <c r="Y153" s="294"/>
      <c r="Z153" s="294"/>
      <c r="AA153" s="294"/>
      <c r="AB153" s="294"/>
      <c r="AC153" s="294"/>
      <c r="AD153" s="294"/>
      <c r="AE153" s="294"/>
      <c r="AF153" s="294"/>
      <c r="AG153" s="294"/>
      <c r="AH153" s="294"/>
      <c r="AI153" s="294"/>
      <c r="AJ153" s="294"/>
      <c r="AK153" s="294"/>
      <c r="AL153" s="294"/>
      <c r="AM153" s="294"/>
      <c r="AN153" s="294"/>
      <c r="AO153" s="294"/>
      <c r="AP153" s="294"/>
      <c r="AQ153" s="294"/>
      <c r="AR153" s="294"/>
      <c r="AS153" s="294"/>
      <c r="AT153" s="237" t="str" cm="1">
        <f t="array" ref="AT153">_xlfn.LET(_xlpm.mL,A153,_xlpm.aL,B153,_xlpm.mR,X153,_xlpm.aR,Y153,_xlpm.useR,AND(_xlpm.mR&lt;&gt;"",_xlpm.mR&lt;&gt;"Model",LEFT(_xlpm.mR,6)&lt;&gt;"Markt:"),_xlpm.m,IF(_xlpm.useR,_xlpm.mR,_xlpm.mL),_xlpm.a,IF(_xlpm.useR,_xlpm.aR,_xlpm.aL),_xlpm.rng,IF(_xlpm.useR,X$1:X153,A$1:A153),IF(OR(_xlpm.m="",_xlpm.m="Model",LEFT(_xlpm.m,6)="Markt:"),"",_xlfn.LET(_xlpm.mkt,LOOKUP(2,1/(LEFT(_xlpm.rng,6)="Markt:"),_xlpm.rng),_xlpm.mktNameRaw,TRIM(MID(_xlpm.mkt,FIND(":",_xlpm.mkt)+1,99)),_xlpm.mktName,TRIM(SUBSTITUTE(_xlpm.mktNameRaw,"(Survey)","")),_xlfn.XLOOKUP(_xlpm.mktName&amp;"|"&amp;SUBSTITUTE(_xlpm.m," ","")&amp;"|"&amp;_xlpm.a,tblMassnahmen[Key],tblMassnahmen[Kanal],""))))</f>
        <v/>
      </c>
      <c r="AU153" s="237" t="str" cm="1">
        <f t="array" ref="AU153">_xlfn.LET(_xlpm.mL,A153,_xlpm.aL,B153,_xlpm.mR,X153,_xlpm.aR,Y153,_xlpm.useR,AND(_xlpm.mR&lt;&gt;"",_xlpm.mR&lt;&gt;"Model",LEFT(_xlpm.mR,6)&lt;&gt;"Markt:"),_xlpm.m,IF(_xlpm.useR,_xlpm.mR,_xlpm.mL),_xlpm.a,IF(_xlpm.useR,_xlpm.aR,_xlpm.aL),_xlpm.rng,IF(_xlpm.useR,X$1:X153,A$1:A153),IF(OR(_xlpm.m="",_xlpm.m="Model",LEFT(_xlpm.m,6)="Markt:"),"",_xlfn.LET(_xlpm.mkt,LOOKUP(2,1/(LEFT(_xlpm.rng,6)="Markt:"),_xlpm.rng),_xlpm.mktNameRaw,TRIM(MID(_xlpm.mkt,FIND(":",_xlpm.mkt)+1,99)),_xlpm.mktName,TRIM(SUBSTITUTE(_xlpm.mktNameRaw,"(Survey)","")),_xlfn.XLOOKUP(_xlpm.mktName&amp;"|"&amp;SUBSTITUTE(_xlpm.m," ","")&amp;"|"&amp;_xlpm.a,tblMassnahmen[Key],tblMassnahmen[Budget],""))))</f>
        <v/>
      </c>
      <c r="AV153" s="237" t="str" cm="1">
        <f t="array" ref="AV153">_xlfn.LET(_xlpm.mL,A153,_xlpm.aL,B153,_xlpm.mR,X153,_xlpm.aR,Y153,_xlpm.useR,AND(_xlpm.mR&lt;&gt;"",_xlpm.mR&lt;&gt;"Model",LEFT(_xlpm.mR,6)&lt;&gt;"Markt:"),_xlpm.m,IF(_xlpm.useR,_xlpm.mR,_xlpm.mL),_xlpm.a,IF(_xlpm.useR,_xlpm.aR,_xlpm.aL),_xlpm.rng,IF(_xlpm.useR,X$1:X153,A$1:A153),IF(OR(_xlpm.m="",_xlpm.m="Model",LEFT(_xlpm.m,6)="Markt:"),"",_xlfn.LET(_xlpm.mkt,LOOKUP(2,1/(LEFT(_xlpm.rng,6)="Markt:"),_xlpm.rng),_xlpm.mktNameRaw,TRIM(MID(_xlpm.mkt,FIND(":",_xlpm.mkt)+1,99)),_xlpm.mktName,TRIM(SUBSTITUTE(_xlpm.mktNameRaw,"(Survey)","")),_xlfn.XLOOKUP(_xlpm.mktName&amp;"|"&amp;SUBSTITUTE(_xlpm.m," ","")&amp;"|"&amp;_xlpm.a,tblMassnahmen[Key],tblMassnahmen[KPI],""))))</f>
        <v/>
      </c>
      <c r="AW153" s="198"/>
    </row>
    <row r="154" spans="1:49" s="208" customFormat="1" ht="22.5" customHeight="1">
      <c r="A154" s="186" t="s">
        <v>105</v>
      </c>
      <c r="B154" s="187" t="s">
        <v>106</v>
      </c>
      <c r="C154" s="181" t="s">
        <v>95</v>
      </c>
      <c r="D154" s="181" t="s">
        <v>96</v>
      </c>
      <c r="E154" s="184" t="s">
        <v>107</v>
      </c>
      <c r="F154" s="184" t="s">
        <v>108</v>
      </c>
      <c r="G154" s="184" t="s">
        <v>109</v>
      </c>
      <c r="H154" s="184" t="s">
        <v>110</v>
      </c>
      <c r="I154" s="184" t="s">
        <v>111</v>
      </c>
      <c r="J154" s="184" t="s">
        <v>112</v>
      </c>
      <c r="K154" s="184" t="s">
        <v>113</v>
      </c>
      <c r="L154" s="184" t="s">
        <v>114</v>
      </c>
      <c r="M154" s="184" t="s">
        <v>115</v>
      </c>
      <c r="N154" s="184" t="s">
        <v>116</v>
      </c>
      <c r="O154" s="184" t="s">
        <v>117</v>
      </c>
      <c r="P154" s="184" t="s">
        <v>118</v>
      </c>
      <c r="Q154" s="184" t="s">
        <v>119</v>
      </c>
      <c r="R154" s="184" t="s">
        <v>120</v>
      </c>
      <c r="S154" s="184" t="s">
        <v>121</v>
      </c>
      <c r="T154" s="184" t="s">
        <v>122</v>
      </c>
      <c r="U154" s="184" t="s">
        <v>123</v>
      </c>
      <c r="V154" s="185" t="s">
        <v>124</v>
      </c>
      <c r="W154" s="209"/>
      <c r="X154" s="219" t="s">
        <v>105</v>
      </c>
      <c r="Y154" s="220" t="s">
        <v>125</v>
      </c>
      <c r="Z154" s="184" t="s">
        <v>95</v>
      </c>
      <c r="AA154" s="184" t="s">
        <v>96</v>
      </c>
      <c r="AB154" s="184" t="s">
        <v>107</v>
      </c>
      <c r="AC154" s="184" t="s">
        <v>108</v>
      </c>
      <c r="AD154" s="184" t="s">
        <v>109</v>
      </c>
      <c r="AE154" s="184" t="s">
        <v>110</v>
      </c>
      <c r="AF154" s="184" t="s">
        <v>111</v>
      </c>
      <c r="AG154" s="184" t="s">
        <v>112</v>
      </c>
      <c r="AH154" s="184" t="s">
        <v>113</v>
      </c>
      <c r="AI154" s="184" t="s">
        <v>114</v>
      </c>
      <c r="AJ154" s="184" t="s">
        <v>115</v>
      </c>
      <c r="AK154" s="184" t="s">
        <v>116</v>
      </c>
      <c r="AL154" s="184" t="s">
        <v>117</v>
      </c>
      <c r="AM154" s="184" t="s">
        <v>118</v>
      </c>
      <c r="AN154" s="184" t="s">
        <v>119</v>
      </c>
      <c r="AO154" s="184" t="s">
        <v>120</v>
      </c>
      <c r="AP154" s="184" t="s">
        <v>121</v>
      </c>
      <c r="AQ154" s="184" t="s">
        <v>122</v>
      </c>
      <c r="AR154" s="184" t="s">
        <v>123</v>
      </c>
      <c r="AS154" s="185" t="s">
        <v>124</v>
      </c>
      <c r="AT154" s="202" t="s">
        <v>126</v>
      </c>
      <c r="AU154" s="201" t="s">
        <v>127</v>
      </c>
      <c r="AV154" s="201" t="s">
        <v>128</v>
      </c>
      <c r="AW154" s="203" t="s">
        <v>129</v>
      </c>
    </row>
    <row r="155" spans="1:49" ht="22.5" customHeight="1">
      <c r="A155" s="175" t="s">
        <v>20</v>
      </c>
      <c r="B155" s="169" t="s">
        <v>97</v>
      </c>
      <c r="C155" s="170">
        <v>46143</v>
      </c>
      <c r="D155" s="170">
        <v>46264</v>
      </c>
      <c r="E155" s="199" t="str">
        <f t="shared" ref="E155:N163" si="50">IFERROR(IF(OR($A155="",$A155="Model",LEFT($A155,5)="Markt"),"",IF(AND($C155&lt;=E$3+6,$D155&gt;=E$3),"■","")),"")</f>
        <v>■</v>
      </c>
      <c r="F155" s="199" t="str">
        <f t="shared" si="50"/>
        <v>■</v>
      </c>
      <c r="G155" s="199" t="str">
        <f t="shared" si="50"/>
        <v>■</v>
      </c>
      <c r="H155" s="199" t="str">
        <f t="shared" si="50"/>
        <v>■</v>
      </c>
      <c r="I155" s="199" t="str">
        <f t="shared" si="50"/>
        <v>■</v>
      </c>
      <c r="J155" s="199" t="str">
        <f t="shared" si="50"/>
        <v>■</v>
      </c>
      <c r="K155" s="199" t="str">
        <f t="shared" si="50"/>
        <v>■</v>
      </c>
      <c r="L155" s="199" t="str">
        <f t="shared" si="50"/>
        <v>■</v>
      </c>
      <c r="M155" s="199" t="str">
        <f t="shared" si="50"/>
        <v>■</v>
      </c>
      <c r="N155" s="199" t="str">
        <f t="shared" si="50"/>
        <v>■</v>
      </c>
      <c r="O155" s="199" t="str">
        <f t="shared" ref="O155:V163" si="51">IFERROR(IF(OR($A155="",$A155="Model",LEFT($A155,5)="Markt"),"",IF(AND($C155&lt;=O$3+6,$D155&gt;=O$3),"■","")),"")</f>
        <v>■</v>
      </c>
      <c r="P155" s="199" t="str">
        <f t="shared" si="51"/>
        <v>■</v>
      </c>
      <c r="Q155" s="199" t="str">
        <f t="shared" si="51"/>
        <v>■</v>
      </c>
      <c r="R155" s="199" t="str">
        <f t="shared" si="51"/>
        <v>■</v>
      </c>
      <c r="S155" s="199" t="str">
        <f t="shared" si="51"/>
        <v>■</v>
      </c>
      <c r="T155" s="199" t="str">
        <f t="shared" si="51"/>
        <v>■</v>
      </c>
      <c r="U155" s="199" t="str">
        <f t="shared" si="51"/>
        <v>■</v>
      </c>
      <c r="V155" s="177" t="str">
        <f t="shared" si="51"/>
        <v>■</v>
      </c>
      <c r="X155" s="211" t="s">
        <v>133</v>
      </c>
      <c r="Y155" s="214" t="s">
        <v>306</v>
      </c>
      <c r="Z155" s="215">
        <v>46121</v>
      </c>
      <c r="AA155" s="215">
        <v>46386</v>
      </c>
      <c r="AB155" s="199" t="str">
        <f t="shared" ref="AB155:AK156" si="52">IF(AND($Z155&lt;=(AB$3+6),$AA155&gt;=AB$3),"■","")</f>
        <v>■</v>
      </c>
      <c r="AC155" s="199" t="str">
        <f t="shared" si="52"/>
        <v>■</v>
      </c>
      <c r="AD155" s="199" t="str">
        <f t="shared" si="52"/>
        <v>■</v>
      </c>
      <c r="AE155" s="199" t="str">
        <f t="shared" si="52"/>
        <v>■</v>
      </c>
      <c r="AF155" s="199" t="str">
        <f t="shared" si="52"/>
        <v>■</v>
      </c>
      <c r="AG155" s="199" t="str">
        <f t="shared" si="52"/>
        <v>■</v>
      </c>
      <c r="AH155" s="199" t="str">
        <f t="shared" si="52"/>
        <v>■</v>
      </c>
      <c r="AI155" s="199" t="str">
        <f t="shared" si="52"/>
        <v>■</v>
      </c>
      <c r="AJ155" s="199" t="str">
        <f t="shared" si="52"/>
        <v>■</v>
      </c>
      <c r="AK155" s="199" t="str">
        <f t="shared" si="52"/>
        <v>■</v>
      </c>
      <c r="AL155" s="199" t="str">
        <f t="shared" ref="AL155:AS156" si="53">IF(AND($Z155&lt;=(AL$3+6),$AA155&gt;=AL$3),"■","")</f>
        <v>■</v>
      </c>
      <c r="AM155" s="199" t="str">
        <f t="shared" si="53"/>
        <v>■</v>
      </c>
      <c r="AN155" s="199" t="str">
        <f t="shared" si="53"/>
        <v>■</v>
      </c>
      <c r="AO155" s="199" t="str">
        <f t="shared" si="53"/>
        <v>■</v>
      </c>
      <c r="AP155" s="199" t="str">
        <f t="shared" si="53"/>
        <v>■</v>
      </c>
      <c r="AQ155" s="199" t="str">
        <f t="shared" si="53"/>
        <v>■</v>
      </c>
      <c r="AR155" s="199" t="str">
        <f t="shared" si="53"/>
        <v>■</v>
      </c>
      <c r="AS155" s="177" t="str">
        <f t="shared" si="53"/>
        <v>■</v>
      </c>
      <c r="AT155" s="204" t="s">
        <v>178</v>
      </c>
      <c r="AU155" s="235" t="s">
        <v>307</v>
      </c>
      <c r="AV155" s="235" t="s">
        <v>277</v>
      </c>
      <c r="AW155" s="205" t="s">
        <v>308</v>
      </c>
    </row>
    <row r="156" spans="1:49" ht="22.5" customHeight="1">
      <c r="A156" s="175" t="s">
        <v>20</v>
      </c>
      <c r="B156" s="169" t="s">
        <v>99</v>
      </c>
      <c r="C156" s="170">
        <v>46143</v>
      </c>
      <c r="D156" s="170">
        <v>46264</v>
      </c>
      <c r="E156" s="199" t="str">
        <f t="shared" si="50"/>
        <v>■</v>
      </c>
      <c r="F156" s="199" t="str">
        <f t="shared" si="50"/>
        <v>■</v>
      </c>
      <c r="G156" s="199" t="str">
        <f t="shared" si="50"/>
        <v>■</v>
      </c>
      <c r="H156" s="199" t="str">
        <f t="shared" si="50"/>
        <v>■</v>
      </c>
      <c r="I156" s="199" t="str">
        <f t="shared" si="50"/>
        <v>■</v>
      </c>
      <c r="J156" s="199" t="str">
        <f t="shared" si="50"/>
        <v>■</v>
      </c>
      <c r="K156" s="199" t="str">
        <f t="shared" si="50"/>
        <v>■</v>
      </c>
      <c r="L156" s="199" t="str">
        <f t="shared" si="50"/>
        <v>■</v>
      </c>
      <c r="M156" s="199" t="str">
        <f t="shared" si="50"/>
        <v>■</v>
      </c>
      <c r="N156" s="199" t="str">
        <f t="shared" si="50"/>
        <v>■</v>
      </c>
      <c r="O156" s="199" t="str">
        <f t="shared" si="51"/>
        <v>■</v>
      </c>
      <c r="P156" s="199" t="str">
        <f t="shared" si="51"/>
        <v>■</v>
      </c>
      <c r="Q156" s="199" t="str">
        <f t="shared" si="51"/>
        <v>■</v>
      </c>
      <c r="R156" s="199" t="str">
        <f t="shared" si="51"/>
        <v>■</v>
      </c>
      <c r="S156" s="199" t="str">
        <f t="shared" si="51"/>
        <v>■</v>
      </c>
      <c r="T156" s="199" t="str">
        <f t="shared" si="51"/>
        <v>■</v>
      </c>
      <c r="U156" s="199" t="str">
        <f t="shared" si="51"/>
        <v>■</v>
      </c>
      <c r="V156" s="177" t="str">
        <f t="shared" si="51"/>
        <v>■</v>
      </c>
      <c r="X156" s="212" t="s">
        <v>22</v>
      </c>
      <c r="Y156" s="213" t="s">
        <v>309</v>
      </c>
      <c r="Z156" s="240">
        <v>46023</v>
      </c>
      <c r="AA156" s="240">
        <v>46111</v>
      </c>
      <c r="AB156" s="193" t="str">
        <f t="shared" si="52"/>
        <v/>
      </c>
      <c r="AC156" s="193" t="str">
        <f t="shared" si="52"/>
        <v/>
      </c>
      <c r="AD156" s="193" t="str">
        <f t="shared" si="52"/>
        <v/>
      </c>
      <c r="AE156" s="193" t="str">
        <f t="shared" si="52"/>
        <v/>
      </c>
      <c r="AF156" s="193" t="str">
        <f t="shared" si="52"/>
        <v/>
      </c>
      <c r="AG156" s="193" t="str">
        <f t="shared" si="52"/>
        <v/>
      </c>
      <c r="AH156" s="193" t="str">
        <f t="shared" si="52"/>
        <v/>
      </c>
      <c r="AI156" s="193" t="str">
        <f t="shared" si="52"/>
        <v/>
      </c>
      <c r="AJ156" s="193" t="str">
        <f t="shared" si="52"/>
        <v/>
      </c>
      <c r="AK156" s="193" t="str">
        <f t="shared" si="52"/>
        <v/>
      </c>
      <c r="AL156" s="193" t="str">
        <f t="shared" si="53"/>
        <v/>
      </c>
      <c r="AM156" s="193" t="str">
        <f t="shared" si="53"/>
        <v/>
      </c>
      <c r="AN156" s="193" t="str">
        <f t="shared" si="53"/>
        <v/>
      </c>
      <c r="AO156" s="193" t="str">
        <f t="shared" si="53"/>
        <v/>
      </c>
      <c r="AP156" s="193" t="str">
        <f t="shared" si="53"/>
        <v/>
      </c>
      <c r="AQ156" s="193" t="str">
        <f t="shared" si="53"/>
        <v/>
      </c>
      <c r="AR156" s="193" t="str">
        <f t="shared" si="53"/>
        <v/>
      </c>
      <c r="AS156" s="194" t="str">
        <f t="shared" si="53"/>
        <v/>
      </c>
      <c r="AT156" s="206" t="s">
        <v>206</v>
      </c>
      <c r="AU156" s="207" t="s">
        <v>310</v>
      </c>
      <c r="AV156" s="207" t="s">
        <v>311</v>
      </c>
      <c r="AW156" s="239" t="s">
        <v>312</v>
      </c>
    </row>
    <row r="157" spans="1:49" ht="22.5" customHeight="1">
      <c r="A157" s="175" t="s">
        <v>20</v>
      </c>
      <c r="B157" s="169" t="s">
        <v>100</v>
      </c>
      <c r="C157" s="170">
        <v>46204</v>
      </c>
      <c r="D157" s="170">
        <v>46264</v>
      </c>
      <c r="E157" s="199" t="str">
        <f t="shared" si="50"/>
        <v/>
      </c>
      <c r="F157" s="199" t="str">
        <f t="shared" si="50"/>
        <v/>
      </c>
      <c r="G157" s="199" t="str">
        <f t="shared" si="50"/>
        <v/>
      </c>
      <c r="H157" s="199" t="str">
        <f t="shared" si="50"/>
        <v/>
      </c>
      <c r="I157" s="199" t="str">
        <f t="shared" si="50"/>
        <v/>
      </c>
      <c r="J157" s="199" t="str">
        <f t="shared" si="50"/>
        <v/>
      </c>
      <c r="K157" s="199" t="str">
        <f t="shared" si="50"/>
        <v/>
      </c>
      <c r="L157" s="199" t="str">
        <f t="shared" si="50"/>
        <v/>
      </c>
      <c r="M157" s="199" t="str">
        <f t="shared" si="50"/>
        <v/>
      </c>
      <c r="N157" s="199" t="str">
        <f t="shared" si="50"/>
        <v>■</v>
      </c>
      <c r="O157" s="199" t="str">
        <f t="shared" si="51"/>
        <v>■</v>
      </c>
      <c r="P157" s="199" t="str">
        <f t="shared" si="51"/>
        <v>■</v>
      </c>
      <c r="Q157" s="199" t="str">
        <f t="shared" si="51"/>
        <v>■</v>
      </c>
      <c r="R157" s="199" t="str">
        <f t="shared" si="51"/>
        <v>■</v>
      </c>
      <c r="S157" s="199" t="str">
        <f t="shared" si="51"/>
        <v>■</v>
      </c>
      <c r="T157" s="199" t="str">
        <f t="shared" si="51"/>
        <v>■</v>
      </c>
      <c r="U157" s="199" t="str">
        <f t="shared" si="51"/>
        <v>■</v>
      </c>
      <c r="V157" s="177" t="str">
        <f t="shared" si="51"/>
        <v>■</v>
      </c>
      <c r="X157" s="214"/>
      <c r="Y157" s="214"/>
      <c r="Z157" s="170"/>
      <c r="AA157" s="170"/>
      <c r="AB157" s="171"/>
      <c r="AC157" s="171"/>
      <c r="AD157" s="171"/>
      <c r="AE157" s="171"/>
      <c r="AF157" s="171"/>
      <c r="AG157" s="171"/>
      <c r="AH157" s="171"/>
      <c r="AI157" s="171"/>
      <c r="AJ157" s="171"/>
      <c r="AK157" s="171"/>
      <c r="AL157" s="171"/>
      <c r="AM157" s="171"/>
      <c r="AN157" s="171"/>
      <c r="AO157" s="171"/>
      <c r="AP157" s="171"/>
      <c r="AQ157" s="171"/>
      <c r="AR157" s="171"/>
      <c r="AS157" s="171"/>
      <c r="AT157" s="235"/>
      <c r="AU157" s="235"/>
      <c r="AV157" s="235"/>
      <c r="AW157" s="235"/>
    </row>
    <row r="158" spans="1:49" ht="22.5" customHeight="1">
      <c r="A158" s="175" t="s">
        <v>22</v>
      </c>
      <c r="B158" s="169" t="s">
        <v>97</v>
      </c>
      <c r="C158" s="170">
        <v>46174</v>
      </c>
      <c r="D158" s="170">
        <v>46264</v>
      </c>
      <c r="E158" s="171" t="str">
        <f t="shared" si="50"/>
        <v/>
      </c>
      <c r="F158" s="171" t="str">
        <f t="shared" si="50"/>
        <v/>
      </c>
      <c r="G158" s="171" t="str">
        <f t="shared" si="50"/>
        <v/>
      </c>
      <c r="H158" s="171" t="str">
        <f t="shared" si="50"/>
        <v/>
      </c>
      <c r="I158" s="171" t="str">
        <f t="shared" si="50"/>
        <v/>
      </c>
      <c r="J158" s="171" t="str">
        <f t="shared" si="50"/>
        <v>■</v>
      </c>
      <c r="K158" s="171" t="str">
        <f t="shared" si="50"/>
        <v>■</v>
      </c>
      <c r="L158" s="171" t="str">
        <f t="shared" si="50"/>
        <v>■</v>
      </c>
      <c r="M158" s="171" t="str">
        <f t="shared" si="50"/>
        <v>■</v>
      </c>
      <c r="N158" s="171" t="str">
        <f t="shared" si="50"/>
        <v>■</v>
      </c>
      <c r="O158" s="171" t="str">
        <f t="shared" si="51"/>
        <v>■</v>
      </c>
      <c r="P158" s="171" t="str">
        <f t="shared" si="51"/>
        <v>■</v>
      </c>
      <c r="Q158" s="171" t="str">
        <f t="shared" si="51"/>
        <v>■</v>
      </c>
      <c r="R158" s="171" t="str">
        <f t="shared" si="51"/>
        <v>■</v>
      </c>
      <c r="S158" s="171" t="str">
        <f t="shared" si="51"/>
        <v>■</v>
      </c>
      <c r="T158" s="171" t="str">
        <f t="shared" si="51"/>
        <v>■</v>
      </c>
      <c r="U158" s="171" t="str">
        <f t="shared" si="51"/>
        <v>■</v>
      </c>
      <c r="V158" s="178" t="str">
        <f t="shared" si="51"/>
        <v>■</v>
      </c>
      <c r="X158" s="214"/>
      <c r="Y158" s="214"/>
      <c r="Z158" s="170"/>
      <c r="AA158" s="170"/>
      <c r="AB158" s="171"/>
      <c r="AC158" s="171"/>
      <c r="AD158" s="171"/>
      <c r="AE158" s="171"/>
      <c r="AF158" s="171"/>
      <c r="AG158" s="171"/>
      <c r="AH158" s="171"/>
      <c r="AI158" s="171"/>
      <c r="AJ158" s="171"/>
      <c r="AK158" s="171"/>
      <c r="AL158" s="171"/>
      <c r="AM158" s="171"/>
      <c r="AN158" s="171"/>
      <c r="AO158" s="171"/>
      <c r="AP158" s="171"/>
      <c r="AQ158" s="171"/>
      <c r="AR158" s="171"/>
      <c r="AS158" s="171"/>
      <c r="AT158" s="235"/>
      <c r="AU158" s="235"/>
      <c r="AV158" s="235"/>
      <c r="AW158" s="235"/>
    </row>
    <row r="159" spans="1:49" ht="22.5" customHeight="1">
      <c r="A159" s="175" t="s">
        <v>22</v>
      </c>
      <c r="B159" s="169" t="s">
        <v>99</v>
      </c>
      <c r="C159" s="170">
        <v>46143</v>
      </c>
      <c r="D159" s="170">
        <v>46264</v>
      </c>
      <c r="E159" s="171" t="str">
        <f t="shared" si="50"/>
        <v>■</v>
      </c>
      <c r="F159" s="171" t="str">
        <f t="shared" si="50"/>
        <v>■</v>
      </c>
      <c r="G159" s="171" t="str">
        <f t="shared" si="50"/>
        <v>■</v>
      </c>
      <c r="H159" s="171" t="str">
        <f t="shared" si="50"/>
        <v>■</v>
      </c>
      <c r="I159" s="171" t="str">
        <f t="shared" si="50"/>
        <v>■</v>
      </c>
      <c r="J159" s="171" t="str">
        <f t="shared" si="50"/>
        <v>■</v>
      </c>
      <c r="K159" s="171" t="str">
        <f t="shared" si="50"/>
        <v>■</v>
      </c>
      <c r="L159" s="171" t="str">
        <f t="shared" si="50"/>
        <v>■</v>
      </c>
      <c r="M159" s="171" t="str">
        <f t="shared" si="50"/>
        <v>■</v>
      </c>
      <c r="N159" s="171" t="str">
        <f t="shared" si="50"/>
        <v>■</v>
      </c>
      <c r="O159" s="171" t="str">
        <f t="shared" si="51"/>
        <v>■</v>
      </c>
      <c r="P159" s="171" t="str">
        <f t="shared" si="51"/>
        <v>■</v>
      </c>
      <c r="Q159" s="171" t="str">
        <f t="shared" si="51"/>
        <v>■</v>
      </c>
      <c r="R159" s="171" t="str">
        <f t="shared" si="51"/>
        <v>■</v>
      </c>
      <c r="S159" s="171" t="str">
        <f t="shared" si="51"/>
        <v>■</v>
      </c>
      <c r="T159" s="171" t="str">
        <f t="shared" si="51"/>
        <v>■</v>
      </c>
      <c r="U159" s="171" t="str">
        <f t="shared" si="51"/>
        <v>■</v>
      </c>
      <c r="V159" s="178" t="str">
        <f t="shared" si="51"/>
        <v>■</v>
      </c>
      <c r="X159" s="214"/>
      <c r="Y159" s="214"/>
      <c r="Z159" s="170"/>
      <c r="AA159" s="170"/>
      <c r="AB159" s="171"/>
      <c r="AC159" s="171"/>
      <c r="AD159" s="171"/>
      <c r="AE159" s="171"/>
      <c r="AF159" s="171"/>
      <c r="AG159" s="171"/>
      <c r="AH159" s="171"/>
      <c r="AI159" s="171"/>
      <c r="AJ159" s="171"/>
      <c r="AK159" s="171"/>
      <c r="AL159" s="171"/>
      <c r="AM159" s="171"/>
      <c r="AN159" s="171"/>
      <c r="AO159" s="171"/>
      <c r="AP159" s="171"/>
      <c r="AQ159" s="171"/>
      <c r="AR159" s="171"/>
      <c r="AS159" s="171"/>
      <c r="AT159" s="235"/>
      <c r="AU159" s="235"/>
      <c r="AV159" s="235"/>
      <c r="AW159" s="235"/>
    </row>
    <row r="160" spans="1:49" ht="22.5" customHeight="1">
      <c r="A160" s="175" t="s">
        <v>22</v>
      </c>
      <c r="B160" s="169" t="s">
        <v>100</v>
      </c>
      <c r="C160" s="170">
        <v>46204</v>
      </c>
      <c r="D160" s="170">
        <v>46264</v>
      </c>
      <c r="E160" s="171" t="str">
        <f t="shared" si="50"/>
        <v/>
      </c>
      <c r="F160" s="171" t="str">
        <f t="shared" si="50"/>
        <v/>
      </c>
      <c r="G160" s="171" t="str">
        <f t="shared" si="50"/>
        <v/>
      </c>
      <c r="H160" s="171" t="str">
        <f t="shared" si="50"/>
        <v/>
      </c>
      <c r="I160" s="171" t="str">
        <f t="shared" si="50"/>
        <v/>
      </c>
      <c r="J160" s="171" t="str">
        <f t="shared" si="50"/>
        <v/>
      </c>
      <c r="K160" s="171" t="str">
        <f t="shared" si="50"/>
        <v/>
      </c>
      <c r="L160" s="171" t="str">
        <f t="shared" si="50"/>
        <v/>
      </c>
      <c r="M160" s="171" t="str">
        <f t="shared" si="50"/>
        <v/>
      </c>
      <c r="N160" s="171" t="str">
        <f t="shared" si="50"/>
        <v>■</v>
      </c>
      <c r="O160" s="171" t="str">
        <f t="shared" si="51"/>
        <v>■</v>
      </c>
      <c r="P160" s="171" t="str">
        <f t="shared" si="51"/>
        <v>■</v>
      </c>
      <c r="Q160" s="171" t="str">
        <f t="shared" si="51"/>
        <v>■</v>
      </c>
      <c r="R160" s="171" t="str">
        <f t="shared" si="51"/>
        <v>■</v>
      </c>
      <c r="S160" s="171" t="str">
        <f t="shared" si="51"/>
        <v>■</v>
      </c>
      <c r="T160" s="171" t="str">
        <f t="shared" si="51"/>
        <v>■</v>
      </c>
      <c r="U160" s="171" t="str">
        <f t="shared" si="51"/>
        <v>■</v>
      </c>
      <c r="V160" s="178" t="str">
        <f t="shared" si="51"/>
        <v>■</v>
      </c>
      <c r="X160" s="214"/>
      <c r="Y160" s="214"/>
      <c r="Z160" s="170"/>
      <c r="AA160" s="170"/>
      <c r="AB160" s="171"/>
      <c r="AC160" s="171"/>
      <c r="AD160" s="171"/>
      <c r="AE160" s="171"/>
      <c r="AF160" s="171"/>
      <c r="AG160" s="171"/>
      <c r="AH160" s="171"/>
      <c r="AI160" s="171"/>
      <c r="AJ160" s="171"/>
      <c r="AK160" s="171"/>
      <c r="AL160" s="171"/>
      <c r="AM160" s="171"/>
      <c r="AN160" s="171"/>
      <c r="AO160" s="171"/>
      <c r="AP160" s="171"/>
      <c r="AQ160" s="171"/>
      <c r="AR160" s="171"/>
      <c r="AS160" s="171"/>
      <c r="AT160" s="235"/>
      <c r="AU160" s="235"/>
      <c r="AV160" s="235"/>
      <c r="AW160" s="235"/>
    </row>
    <row r="161" spans="1:49" ht="22.5" customHeight="1">
      <c r="A161" s="175" t="s">
        <v>28</v>
      </c>
      <c r="B161" s="169" t="s">
        <v>97</v>
      </c>
      <c r="C161" s="170">
        <v>46143</v>
      </c>
      <c r="D161" s="170">
        <v>46264</v>
      </c>
      <c r="E161" s="200" t="str">
        <f t="shared" si="50"/>
        <v>■</v>
      </c>
      <c r="F161" s="200" t="str">
        <f t="shared" si="50"/>
        <v>■</v>
      </c>
      <c r="G161" s="200" t="str">
        <f t="shared" si="50"/>
        <v>■</v>
      </c>
      <c r="H161" s="200" t="str">
        <f t="shared" si="50"/>
        <v>■</v>
      </c>
      <c r="I161" s="200" t="str">
        <f t="shared" si="50"/>
        <v>■</v>
      </c>
      <c r="J161" s="200" t="str">
        <f t="shared" si="50"/>
        <v>■</v>
      </c>
      <c r="K161" s="200" t="str">
        <f t="shared" si="50"/>
        <v>■</v>
      </c>
      <c r="L161" s="200" t="str">
        <f t="shared" si="50"/>
        <v>■</v>
      </c>
      <c r="M161" s="200" t="str">
        <f t="shared" si="50"/>
        <v>■</v>
      </c>
      <c r="N161" s="200" t="str">
        <f t="shared" si="50"/>
        <v>■</v>
      </c>
      <c r="O161" s="200" t="str">
        <f t="shared" si="51"/>
        <v>■</v>
      </c>
      <c r="P161" s="200" t="str">
        <f t="shared" si="51"/>
        <v>■</v>
      </c>
      <c r="Q161" s="200" t="str">
        <f t="shared" si="51"/>
        <v>■</v>
      </c>
      <c r="R161" s="200" t="str">
        <f t="shared" si="51"/>
        <v>■</v>
      </c>
      <c r="S161" s="200" t="str">
        <f t="shared" si="51"/>
        <v>■</v>
      </c>
      <c r="T161" s="200" t="str">
        <f t="shared" si="51"/>
        <v>■</v>
      </c>
      <c r="U161" s="200" t="str">
        <f t="shared" si="51"/>
        <v>■</v>
      </c>
      <c r="V161" s="179" t="str">
        <f t="shared" si="51"/>
        <v>■</v>
      </c>
      <c r="X161" s="214"/>
      <c r="Y161" s="214"/>
      <c r="Z161" s="170"/>
      <c r="AA161" s="170"/>
      <c r="AB161" s="171"/>
      <c r="AC161" s="171"/>
      <c r="AD161" s="171"/>
      <c r="AE161" s="171"/>
      <c r="AF161" s="171"/>
      <c r="AG161" s="171"/>
      <c r="AH161" s="171"/>
      <c r="AI161" s="171"/>
      <c r="AJ161" s="171"/>
      <c r="AK161" s="171"/>
      <c r="AL161" s="171"/>
      <c r="AM161" s="171"/>
      <c r="AN161" s="171"/>
      <c r="AO161" s="171"/>
      <c r="AP161" s="171"/>
      <c r="AQ161" s="171"/>
      <c r="AR161" s="171"/>
      <c r="AS161" s="171"/>
      <c r="AT161" s="235"/>
      <c r="AU161" s="235"/>
      <c r="AV161" s="235"/>
      <c r="AW161" s="235"/>
    </row>
    <row r="162" spans="1:49" ht="22.5" customHeight="1">
      <c r="A162" s="175" t="s">
        <v>28</v>
      </c>
      <c r="B162" s="169" t="s">
        <v>99</v>
      </c>
      <c r="C162" s="170">
        <v>46204</v>
      </c>
      <c r="D162" s="170">
        <v>46264</v>
      </c>
      <c r="E162" s="200" t="str">
        <f t="shared" si="50"/>
        <v/>
      </c>
      <c r="F162" s="200" t="str">
        <f t="shared" si="50"/>
        <v/>
      </c>
      <c r="G162" s="200" t="str">
        <f t="shared" si="50"/>
        <v/>
      </c>
      <c r="H162" s="200" t="str">
        <f t="shared" si="50"/>
        <v/>
      </c>
      <c r="I162" s="200" t="str">
        <f t="shared" si="50"/>
        <v/>
      </c>
      <c r="J162" s="200" t="str">
        <f t="shared" si="50"/>
        <v/>
      </c>
      <c r="K162" s="200" t="str">
        <f t="shared" si="50"/>
        <v/>
      </c>
      <c r="L162" s="200" t="str">
        <f t="shared" si="50"/>
        <v/>
      </c>
      <c r="M162" s="200" t="str">
        <f t="shared" si="50"/>
        <v/>
      </c>
      <c r="N162" s="200" t="str">
        <f t="shared" si="50"/>
        <v>■</v>
      </c>
      <c r="O162" s="200" t="str">
        <f t="shared" si="51"/>
        <v>■</v>
      </c>
      <c r="P162" s="200" t="str">
        <f t="shared" si="51"/>
        <v>■</v>
      </c>
      <c r="Q162" s="200" t="str">
        <f t="shared" si="51"/>
        <v>■</v>
      </c>
      <c r="R162" s="200" t="str">
        <f t="shared" si="51"/>
        <v>■</v>
      </c>
      <c r="S162" s="200" t="str">
        <f t="shared" si="51"/>
        <v>■</v>
      </c>
      <c r="T162" s="200" t="str">
        <f t="shared" si="51"/>
        <v>■</v>
      </c>
      <c r="U162" s="200" t="str">
        <f t="shared" si="51"/>
        <v>■</v>
      </c>
      <c r="V162" s="179" t="str">
        <f t="shared" si="51"/>
        <v>■</v>
      </c>
      <c r="X162" s="214"/>
      <c r="Y162" s="214"/>
      <c r="Z162" s="170"/>
      <c r="AA162" s="170"/>
      <c r="AB162" s="171"/>
      <c r="AC162" s="171"/>
      <c r="AD162" s="171"/>
      <c r="AE162" s="171"/>
      <c r="AF162" s="171"/>
      <c r="AG162" s="171"/>
      <c r="AH162" s="171"/>
      <c r="AI162" s="171"/>
      <c r="AJ162" s="171"/>
      <c r="AK162" s="171"/>
      <c r="AL162" s="171"/>
      <c r="AM162" s="171"/>
      <c r="AN162" s="171"/>
      <c r="AO162" s="171"/>
      <c r="AP162" s="171"/>
      <c r="AQ162" s="171"/>
      <c r="AR162" s="171"/>
      <c r="AS162" s="171"/>
      <c r="AT162" s="235"/>
      <c r="AU162" s="235"/>
      <c r="AV162" s="235"/>
      <c r="AW162" s="235"/>
    </row>
    <row r="163" spans="1:49" ht="22.5" customHeight="1">
      <c r="A163" s="176" t="s">
        <v>28</v>
      </c>
      <c r="B163" s="172" t="s">
        <v>100</v>
      </c>
      <c r="C163" s="173">
        <v>46204</v>
      </c>
      <c r="D163" s="173">
        <v>46264</v>
      </c>
      <c r="E163" s="174" t="str">
        <f t="shared" si="50"/>
        <v/>
      </c>
      <c r="F163" s="174" t="str">
        <f t="shared" si="50"/>
        <v/>
      </c>
      <c r="G163" s="174" t="str">
        <f t="shared" si="50"/>
        <v/>
      </c>
      <c r="H163" s="174" t="str">
        <f t="shared" si="50"/>
        <v/>
      </c>
      <c r="I163" s="174" t="str">
        <f t="shared" si="50"/>
        <v/>
      </c>
      <c r="J163" s="174" t="str">
        <f t="shared" si="50"/>
        <v/>
      </c>
      <c r="K163" s="174" t="str">
        <f t="shared" si="50"/>
        <v/>
      </c>
      <c r="L163" s="174" t="str">
        <f t="shared" si="50"/>
        <v/>
      </c>
      <c r="M163" s="174" t="str">
        <f t="shared" si="50"/>
        <v/>
      </c>
      <c r="N163" s="174" t="str">
        <f t="shared" si="50"/>
        <v>■</v>
      </c>
      <c r="O163" s="174" t="str">
        <f t="shared" si="51"/>
        <v>■</v>
      </c>
      <c r="P163" s="174" t="str">
        <f t="shared" si="51"/>
        <v>■</v>
      </c>
      <c r="Q163" s="174" t="str">
        <f t="shared" si="51"/>
        <v>■</v>
      </c>
      <c r="R163" s="174" t="str">
        <f t="shared" si="51"/>
        <v>■</v>
      </c>
      <c r="S163" s="174" t="str">
        <f t="shared" si="51"/>
        <v>■</v>
      </c>
      <c r="T163" s="174" t="str">
        <f t="shared" si="51"/>
        <v>■</v>
      </c>
      <c r="U163" s="174" t="str">
        <f t="shared" si="51"/>
        <v>■</v>
      </c>
      <c r="V163" s="180" t="str">
        <f t="shared" si="51"/>
        <v>■</v>
      </c>
      <c r="X163" s="214"/>
      <c r="Y163" s="214"/>
      <c r="Z163" s="170"/>
      <c r="AA163" s="170"/>
      <c r="AB163" s="171"/>
      <c r="AC163" s="171"/>
      <c r="AD163" s="171"/>
      <c r="AE163" s="171"/>
      <c r="AF163" s="171"/>
      <c r="AG163" s="171"/>
      <c r="AH163" s="171"/>
      <c r="AI163" s="171"/>
      <c r="AJ163" s="171"/>
      <c r="AK163" s="171"/>
      <c r="AL163" s="171"/>
      <c r="AM163" s="171"/>
      <c r="AN163" s="171"/>
      <c r="AO163" s="171"/>
      <c r="AP163" s="171"/>
      <c r="AQ163" s="171"/>
      <c r="AR163" s="171"/>
      <c r="AS163" s="171"/>
      <c r="AT163" s="235"/>
      <c r="AU163" s="235"/>
      <c r="AV163" s="235"/>
      <c r="AW163" s="235"/>
    </row>
    <row r="164" spans="1:49" s="208" customFormat="1" ht="22.5" customHeight="1">
      <c r="A164" s="292" t="s">
        <v>313</v>
      </c>
      <c r="B164" s="292"/>
      <c r="C164" s="292"/>
      <c r="D164" s="292"/>
      <c r="E164" s="292"/>
      <c r="F164" s="292"/>
      <c r="G164" s="292"/>
      <c r="H164" s="292"/>
      <c r="I164" s="292"/>
      <c r="J164" s="292"/>
      <c r="K164" s="292"/>
      <c r="L164" s="292"/>
      <c r="M164" s="292"/>
      <c r="N164" s="292"/>
      <c r="O164" s="292"/>
      <c r="P164" s="292"/>
      <c r="Q164" s="292"/>
      <c r="R164" s="292"/>
      <c r="S164" s="292"/>
      <c r="T164" s="292"/>
      <c r="U164" s="292"/>
      <c r="V164" s="292"/>
      <c r="W164" s="209"/>
      <c r="X164" s="294" t="s">
        <v>314</v>
      </c>
      <c r="Y164" s="294"/>
      <c r="Z164" s="294"/>
      <c r="AA164" s="294"/>
      <c r="AB164" s="294"/>
      <c r="AC164" s="294"/>
      <c r="AD164" s="294"/>
      <c r="AE164" s="294"/>
      <c r="AF164" s="294"/>
      <c r="AG164" s="294"/>
      <c r="AH164" s="294"/>
      <c r="AI164" s="294"/>
      <c r="AJ164" s="294"/>
      <c r="AK164" s="294"/>
      <c r="AL164" s="294"/>
      <c r="AM164" s="294"/>
      <c r="AN164" s="294"/>
      <c r="AO164" s="294"/>
      <c r="AP164" s="294"/>
      <c r="AQ164" s="294"/>
      <c r="AR164" s="294"/>
      <c r="AS164" s="294"/>
      <c r="AT164" s="237"/>
      <c r="AU164" s="237"/>
      <c r="AV164" s="237"/>
      <c r="AW164" s="198"/>
    </row>
    <row r="165" spans="1:49" s="208" customFormat="1" ht="22.5" customHeight="1">
      <c r="A165" s="186" t="s">
        <v>105</v>
      </c>
      <c r="B165" s="187" t="s">
        <v>106</v>
      </c>
      <c r="C165" s="181" t="s">
        <v>95</v>
      </c>
      <c r="D165" s="181" t="s">
        <v>96</v>
      </c>
      <c r="E165" s="184" t="s">
        <v>107</v>
      </c>
      <c r="F165" s="184" t="s">
        <v>108</v>
      </c>
      <c r="G165" s="184" t="s">
        <v>109</v>
      </c>
      <c r="H165" s="184" t="s">
        <v>110</v>
      </c>
      <c r="I165" s="184" t="s">
        <v>111</v>
      </c>
      <c r="J165" s="184" t="s">
        <v>112</v>
      </c>
      <c r="K165" s="184" t="s">
        <v>113</v>
      </c>
      <c r="L165" s="184" t="s">
        <v>114</v>
      </c>
      <c r="M165" s="184" t="s">
        <v>115</v>
      </c>
      <c r="N165" s="184" t="s">
        <v>116</v>
      </c>
      <c r="O165" s="184" t="s">
        <v>117</v>
      </c>
      <c r="P165" s="184" t="s">
        <v>118</v>
      </c>
      <c r="Q165" s="184" t="s">
        <v>119</v>
      </c>
      <c r="R165" s="184" t="s">
        <v>120</v>
      </c>
      <c r="S165" s="184" t="s">
        <v>121</v>
      </c>
      <c r="T165" s="184" t="s">
        <v>122</v>
      </c>
      <c r="U165" s="184" t="s">
        <v>123</v>
      </c>
      <c r="V165" s="185" t="s">
        <v>124</v>
      </c>
      <c r="W165" s="209"/>
      <c r="X165" s="219" t="s">
        <v>105</v>
      </c>
      <c r="Y165" s="220" t="s">
        <v>125</v>
      </c>
      <c r="Z165" s="184" t="s">
        <v>95</v>
      </c>
      <c r="AA165" s="184" t="s">
        <v>96</v>
      </c>
      <c r="AB165" s="184" t="s">
        <v>107</v>
      </c>
      <c r="AC165" s="184" t="s">
        <v>108</v>
      </c>
      <c r="AD165" s="184" t="s">
        <v>109</v>
      </c>
      <c r="AE165" s="184" t="s">
        <v>110</v>
      </c>
      <c r="AF165" s="184" t="s">
        <v>111</v>
      </c>
      <c r="AG165" s="184" t="s">
        <v>112</v>
      </c>
      <c r="AH165" s="184" t="s">
        <v>113</v>
      </c>
      <c r="AI165" s="184" t="s">
        <v>114</v>
      </c>
      <c r="AJ165" s="184" t="s">
        <v>115</v>
      </c>
      <c r="AK165" s="184" t="s">
        <v>116</v>
      </c>
      <c r="AL165" s="184" t="s">
        <v>117</v>
      </c>
      <c r="AM165" s="184" t="s">
        <v>118</v>
      </c>
      <c r="AN165" s="184" t="s">
        <v>119</v>
      </c>
      <c r="AO165" s="184" t="s">
        <v>120</v>
      </c>
      <c r="AP165" s="184" t="s">
        <v>121</v>
      </c>
      <c r="AQ165" s="184" t="s">
        <v>122</v>
      </c>
      <c r="AR165" s="184" t="s">
        <v>123</v>
      </c>
      <c r="AS165" s="185" t="s">
        <v>124</v>
      </c>
      <c r="AT165" s="202" t="s">
        <v>126</v>
      </c>
      <c r="AU165" s="201" t="s">
        <v>127</v>
      </c>
      <c r="AV165" s="201" t="s">
        <v>128</v>
      </c>
      <c r="AW165" s="203" t="s">
        <v>129</v>
      </c>
    </row>
    <row r="166" spans="1:49" ht="22.5" customHeight="1">
      <c r="A166" s="175"/>
      <c r="C166" s="170"/>
      <c r="D166" s="170"/>
      <c r="E166" s="199"/>
      <c r="F166" s="199"/>
      <c r="G166" s="199"/>
      <c r="H166" s="199"/>
      <c r="I166" s="199"/>
      <c r="J166" s="199"/>
      <c r="K166" s="199"/>
      <c r="L166" s="199"/>
      <c r="M166" s="199"/>
      <c r="N166" s="199"/>
      <c r="O166" s="199"/>
      <c r="P166" s="199"/>
      <c r="Q166" s="199"/>
      <c r="R166" s="199"/>
      <c r="S166" s="199"/>
      <c r="T166" s="199"/>
      <c r="U166" s="199"/>
      <c r="V166" s="177"/>
      <c r="X166" s="211" t="s">
        <v>133</v>
      </c>
      <c r="Y166" s="214" t="s">
        <v>315</v>
      </c>
      <c r="Z166" s="215">
        <v>46331</v>
      </c>
      <c r="AA166" s="215">
        <v>46377</v>
      </c>
      <c r="AB166" s="199" t="str">
        <f t="shared" ref="AB166:AK170" si="54">IF(AND($Z166&lt;=(AB$3+6),$AA166&gt;=AB$3),"■","")</f>
        <v/>
      </c>
      <c r="AC166" s="199" t="str">
        <f t="shared" si="54"/>
        <v/>
      </c>
      <c r="AD166" s="199" t="str">
        <f t="shared" si="54"/>
        <v/>
      </c>
      <c r="AE166" s="199" t="str">
        <f t="shared" si="54"/>
        <v/>
      </c>
      <c r="AF166" s="199" t="str">
        <f t="shared" si="54"/>
        <v/>
      </c>
      <c r="AG166" s="199" t="str">
        <f t="shared" si="54"/>
        <v/>
      </c>
      <c r="AH166" s="199" t="str">
        <f t="shared" si="54"/>
        <v/>
      </c>
      <c r="AI166" s="199" t="str">
        <f t="shared" si="54"/>
        <v/>
      </c>
      <c r="AJ166" s="199" t="str">
        <f t="shared" si="54"/>
        <v/>
      </c>
      <c r="AK166" s="199" t="str">
        <f t="shared" si="54"/>
        <v/>
      </c>
      <c r="AL166" s="199" t="str">
        <f t="shared" ref="AL166:AS170" si="55">IF(AND($Z166&lt;=(AL$3+6),$AA166&gt;=AL$3),"■","")</f>
        <v/>
      </c>
      <c r="AM166" s="199" t="str">
        <f t="shared" si="55"/>
        <v/>
      </c>
      <c r="AN166" s="199" t="str">
        <f t="shared" si="55"/>
        <v/>
      </c>
      <c r="AO166" s="199" t="str">
        <f t="shared" si="55"/>
        <v/>
      </c>
      <c r="AP166" s="199" t="str">
        <f t="shared" si="55"/>
        <v/>
      </c>
      <c r="AQ166" s="199" t="str">
        <f t="shared" si="55"/>
        <v/>
      </c>
      <c r="AR166" s="199" t="str">
        <f t="shared" si="55"/>
        <v/>
      </c>
      <c r="AS166" s="177" t="str">
        <f t="shared" si="55"/>
        <v/>
      </c>
      <c r="AT166" s="204" t="s">
        <v>178</v>
      </c>
      <c r="AU166" s="235" t="s">
        <v>316</v>
      </c>
      <c r="AV166" s="235" t="s">
        <v>317</v>
      </c>
      <c r="AW166" s="205" t="s">
        <v>318</v>
      </c>
    </row>
    <row r="167" spans="1:49" ht="22.5" customHeight="1">
      <c r="A167" s="175"/>
      <c r="C167" s="170"/>
      <c r="D167" s="170"/>
      <c r="E167" s="199"/>
      <c r="F167" s="199"/>
      <c r="G167" s="199"/>
      <c r="H167" s="199"/>
      <c r="I167" s="199"/>
      <c r="J167" s="199"/>
      <c r="K167" s="199"/>
      <c r="L167" s="199"/>
      <c r="M167" s="199"/>
      <c r="N167" s="199"/>
      <c r="O167" s="199"/>
      <c r="P167" s="199"/>
      <c r="Q167" s="199"/>
      <c r="R167" s="199"/>
      <c r="S167" s="199"/>
      <c r="T167" s="199"/>
      <c r="U167" s="199"/>
      <c r="V167" s="177"/>
      <c r="X167" s="211" t="s">
        <v>22</v>
      </c>
      <c r="Y167" s="214" t="s">
        <v>319</v>
      </c>
      <c r="Z167" s="216">
        <v>46034</v>
      </c>
      <c r="AA167" s="216">
        <v>46111</v>
      </c>
      <c r="AB167" s="171" t="str">
        <f t="shared" si="54"/>
        <v/>
      </c>
      <c r="AC167" s="171" t="str">
        <f t="shared" si="54"/>
        <v/>
      </c>
      <c r="AD167" s="171" t="str">
        <f t="shared" si="54"/>
        <v/>
      </c>
      <c r="AE167" s="171" t="str">
        <f t="shared" si="54"/>
        <v/>
      </c>
      <c r="AF167" s="171" t="str">
        <f t="shared" si="54"/>
        <v/>
      </c>
      <c r="AG167" s="171" t="str">
        <f t="shared" si="54"/>
        <v/>
      </c>
      <c r="AH167" s="171" t="str">
        <f t="shared" si="54"/>
        <v/>
      </c>
      <c r="AI167" s="171" t="str">
        <f t="shared" si="54"/>
        <v/>
      </c>
      <c r="AJ167" s="171" t="str">
        <f t="shared" si="54"/>
        <v/>
      </c>
      <c r="AK167" s="171" t="str">
        <f t="shared" si="54"/>
        <v/>
      </c>
      <c r="AL167" s="171" t="str">
        <f t="shared" si="55"/>
        <v/>
      </c>
      <c r="AM167" s="171" t="str">
        <f t="shared" si="55"/>
        <v/>
      </c>
      <c r="AN167" s="171" t="str">
        <f t="shared" si="55"/>
        <v/>
      </c>
      <c r="AO167" s="171" t="str">
        <f t="shared" si="55"/>
        <v/>
      </c>
      <c r="AP167" s="171" t="str">
        <f t="shared" si="55"/>
        <v/>
      </c>
      <c r="AQ167" s="171" t="str">
        <f t="shared" si="55"/>
        <v/>
      </c>
      <c r="AR167" s="171" t="str">
        <f t="shared" si="55"/>
        <v/>
      </c>
      <c r="AS167" s="178" t="str">
        <f t="shared" si="55"/>
        <v/>
      </c>
      <c r="AT167" s="204" t="s">
        <v>320</v>
      </c>
      <c r="AU167" s="235" t="s">
        <v>321</v>
      </c>
      <c r="AV167" s="235" t="s">
        <v>322</v>
      </c>
      <c r="AW167" s="205" t="s">
        <v>323</v>
      </c>
    </row>
    <row r="168" spans="1:49" ht="22.5" customHeight="1">
      <c r="A168" s="175"/>
      <c r="C168" s="170"/>
      <c r="D168" s="170"/>
      <c r="E168" s="199"/>
      <c r="F168" s="199"/>
      <c r="G168" s="199"/>
      <c r="H168" s="199"/>
      <c r="I168" s="199"/>
      <c r="J168" s="199"/>
      <c r="K168" s="199"/>
      <c r="L168" s="199"/>
      <c r="M168" s="199"/>
      <c r="N168" s="199"/>
      <c r="O168" s="199"/>
      <c r="P168" s="199"/>
      <c r="Q168" s="199"/>
      <c r="R168" s="199"/>
      <c r="S168" s="199"/>
      <c r="T168" s="199"/>
      <c r="U168" s="199"/>
      <c r="V168" s="177"/>
      <c r="X168" s="211" t="s">
        <v>22</v>
      </c>
      <c r="Y168" s="214" t="s">
        <v>324</v>
      </c>
      <c r="Z168" s="216">
        <v>46177</v>
      </c>
      <c r="AA168" s="216">
        <v>46264</v>
      </c>
      <c r="AB168" s="171" t="str">
        <f t="shared" si="54"/>
        <v/>
      </c>
      <c r="AC168" s="171" t="str">
        <f t="shared" si="54"/>
        <v/>
      </c>
      <c r="AD168" s="171" t="str">
        <f t="shared" si="54"/>
        <v/>
      </c>
      <c r="AE168" s="171" t="str">
        <f t="shared" si="54"/>
        <v/>
      </c>
      <c r="AF168" s="171" t="str">
        <f t="shared" si="54"/>
        <v/>
      </c>
      <c r="AG168" s="171" t="str">
        <f t="shared" si="54"/>
        <v>■</v>
      </c>
      <c r="AH168" s="171" t="str">
        <f t="shared" si="54"/>
        <v>■</v>
      </c>
      <c r="AI168" s="171" t="str">
        <f t="shared" si="54"/>
        <v>■</v>
      </c>
      <c r="AJ168" s="171" t="str">
        <f t="shared" si="54"/>
        <v>■</v>
      </c>
      <c r="AK168" s="171" t="str">
        <f t="shared" si="54"/>
        <v>■</v>
      </c>
      <c r="AL168" s="171" t="str">
        <f t="shared" si="55"/>
        <v>■</v>
      </c>
      <c r="AM168" s="171" t="str">
        <f t="shared" si="55"/>
        <v>■</v>
      </c>
      <c r="AN168" s="171" t="str">
        <f t="shared" si="55"/>
        <v>■</v>
      </c>
      <c r="AO168" s="171" t="str">
        <f t="shared" si="55"/>
        <v>■</v>
      </c>
      <c r="AP168" s="171" t="str">
        <f t="shared" si="55"/>
        <v>■</v>
      </c>
      <c r="AQ168" s="171" t="str">
        <f t="shared" si="55"/>
        <v>■</v>
      </c>
      <c r="AR168" s="171" t="str">
        <f t="shared" si="55"/>
        <v>■</v>
      </c>
      <c r="AS168" s="178" t="str">
        <f t="shared" si="55"/>
        <v>■</v>
      </c>
      <c r="AT168" s="204" t="s">
        <v>325</v>
      </c>
      <c r="AU168" s="235" t="s">
        <v>326</v>
      </c>
      <c r="AV168" s="235" t="s">
        <v>317</v>
      </c>
      <c r="AW168" s="205" t="s">
        <v>318</v>
      </c>
    </row>
    <row r="169" spans="1:49" ht="22.5" customHeight="1">
      <c r="A169" s="175"/>
      <c r="C169" s="170"/>
      <c r="D169" s="170"/>
      <c r="E169" s="171"/>
      <c r="F169" s="171"/>
      <c r="G169" s="171"/>
      <c r="H169" s="171"/>
      <c r="I169" s="171"/>
      <c r="J169" s="171"/>
      <c r="K169" s="171"/>
      <c r="L169" s="171"/>
      <c r="M169" s="171"/>
      <c r="N169" s="171"/>
      <c r="O169" s="171"/>
      <c r="P169" s="171"/>
      <c r="Q169" s="171"/>
      <c r="R169" s="171"/>
      <c r="S169" s="171"/>
      <c r="T169" s="171"/>
      <c r="U169" s="171"/>
      <c r="V169" s="178"/>
      <c r="X169" s="211" t="s">
        <v>22</v>
      </c>
      <c r="Y169" s="214" t="s">
        <v>327</v>
      </c>
      <c r="Z169" s="216">
        <v>46331</v>
      </c>
      <c r="AA169" s="216">
        <v>46377</v>
      </c>
      <c r="AB169" s="171" t="str">
        <f t="shared" si="54"/>
        <v/>
      </c>
      <c r="AC169" s="171" t="str">
        <f t="shared" si="54"/>
        <v/>
      </c>
      <c r="AD169" s="171" t="str">
        <f t="shared" si="54"/>
        <v/>
      </c>
      <c r="AE169" s="171" t="str">
        <f t="shared" si="54"/>
        <v/>
      </c>
      <c r="AF169" s="171" t="str">
        <f t="shared" si="54"/>
        <v/>
      </c>
      <c r="AG169" s="171" t="str">
        <f t="shared" si="54"/>
        <v/>
      </c>
      <c r="AH169" s="171" t="str">
        <f t="shared" si="54"/>
        <v/>
      </c>
      <c r="AI169" s="171" t="str">
        <f t="shared" si="54"/>
        <v/>
      </c>
      <c r="AJ169" s="171" t="str">
        <f t="shared" si="54"/>
        <v/>
      </c>
      <c r="AK169" s="171" t="str">
        <f t="shared" si="54"/>
        <v/>
      </c>
      <c r="AL169" s="171" t="str">
        <f t="shared" si="55"/>
        <v/>
      </c>
      <c r="AM169" s="171" t="str">
        <f t="shared" si="55"/>
        <v/>
      </c>
      <c r="AN169" s="171" t="str">
        <f t="shared" si="55"/>
        <v/>
      </c>
      <c r="AO169" s="171" t="str">
        <f t="shared" si="55"/>
        <v/>
      </c>
      <c r="AP169" s="171" t="str">
        <f t="shared" si="55"/>
        <v/>
      </c>
      <c r="AQ169" s="171" t="str">
        <f t="shared" si="55"/>
        <v/>
      </c>
      <c r="AR169" s="171" t="str">
        <f t="shared" si="55"/>
        <v/>
      </c>
      <c r="AS169" s="178" t="str">
        <f t="shared" si="55"/>
        <v/>
      </c>
      <c r="AT169" s="204" t="s">
        <v>141</v>
      </c>
      <c r="AU169" s="235" t="s">
        <v>328</v>
      </c>
      <c r="AV169" s="235" t="s">
        <v>329</v>
      </c>
      <c r="AW169" s="205" t="s">
        <v>318</v>
      </c>
    </row>
    <row r="170" spans="1:49" ht="22.5" customHeight="1">
      <c r="A170" s="175"/>
      <c r="C170" s="170"/>
      <c r="D170" s="170"/>
      <c r="E170" s="171"/>
      <c r="F170" s="171"/>
      <c r="G170" s="171"/>
      <c r="H170" s="171"/>
      <c r="I170" s="171"/>
      <c r="J170" s="171"/>
      <c r="K170" s="171"/>
      <c r="L170" s="171"/>
      <c r="M170" s="171"/>
      <c r="N170" s="171"/>
      <c r="O170" s="171"/>
      <c r="P170" s="171"/>
      <c r="Q170" s="171"/>
      <c r="R170" s="171"/>
      <c r="S170" s="171"/>
      <c r="T170" s="171"/>
      <c r="U170" s="171"/>
      <c r="V170" s="178"/>
      <c r="X170" s="212" t="s">
        <v>28</v>
      </c>
      <c r="Y170" s="213" t="s">
        <v>330</v>
      </c>
      <c r="Z170" s="218">
        <v>46208</v>
      </c>
      <c r="AA170" s="218">
        <v>46325</v>
      </c>
      <c r="AB170" s="174" t="str">
        <f t="shared" si="54"/>
        <v/>
      </c>
      <c r="AC170" s="174" t="str">
        <f t="shared" si="54"/>
        <v/>
      </c>
      <c r="AD170" s="174" t="str">
        <f t="shared" si="54"/>
        <v/>
      </c>
      <c r="AE170" s="174" t="str">
        <f t="shared" si="54"/>
        <v/>
      </c>
      <c r="AF170" s="174" t="str">
        <f t="shared" si="54"/>
        <v/>
      </c>
      <c r="AG170" s="174" t="str">
        <f t="shared" si="54"/>
        <v/>
      </c>
      <c r="AH170" s="174" t="str">
        <f t="shared" si="54"/>
        <v/>
      </c>
      <c r="AI170" s="174" t="str">
        <f t="shared" si="54"/>
        <v/>
      </c>
      <c r="AJ170" s="174" t="str">
        <f t="shared" si="54"/>
        <v/>
      </c>
      <c r="AK170" s="174" t="str">
        <f t="shared" si="54"/>
        <v>■</v>
      </c>
      <c r="AL170" s="174" t="str">
        <f t="shared" si="55"/>
        <v>■</v>
      </c>
      <c r="AM170" s="174" t="str">
        <f t="shared" si="55"/>
        <v>■</v>
      </c>
      <c r="AN170" s="174" t="str">
        <f t="shared" si="55"/>
        <v>■</v>
      </c>
      <c r="AO170" s="174" t="str">
        <f t="shared" si="55"/>
        <v>■</v>
      </c>
      <c r="AP170" s="174" t="str">
        <f t="shared" si="55"/>
        <v>■</v>
      </c>
      <c r="AQ170" s="174" t="str">
        <f t="shared" si="55"/>
        <v>■</v>
      </c>
      <c r="AR170" s="174" t="str">
        <f t="shared" si="55"/>
        <v>■</v>
      </c>
      <c r="AS170" s="180" t="str">
        <f t="shared" si="55"/>
        <v>■</v>
      </c>
      <c r="AT170" s="206" t="s">
        <v>206</v>
      </c>
      <c r="AU170" s="207" t="s">
        <v>331</v>
      </c>
      <c r="AV170" s="207" t="s">
        <v>332</v>
      </c>
      <c r="AW170" s="239" t="s">
        <v>318</v>
      </c>
    </row>
    <row r="171" spans="1:49" ht="22.5" customHeight="1">
      <c r="A171" s="175"/>
      <c r="C171" s="170"/>
      <c r="D171" s="170"/>
      <c r="E171" s="171"/>
      <c r="F171" s="171"/>
      <c r="G171" s="171"/>
      <c r="H171" s="171"/>
      <c r="I171" s="171"/>
      <c r="J171" s="171"/>
      <c r="K171" s="171"/>
      <c r="L171" s="171"/>
      <c r="M171" s="171"/>
      <c r="N171" s="171"/>
      <c r="O171" s="171"/>
      <c r="P171" s="171"/>
      <c r="Q171" s="171"/>
      <c r="R171" s="171"/>
      <c r="S171" s="171"/>
      <c r="T171" s="171"/>
      <c r="U171" s="171"/>
      <c r="V171" s="178"/>
      <c r="X171" s="214"/>
      <c r="Y171" s="214"/>
      <c r="Z171" s="170"/>
      <c r="AA171" s="170"/>
      <c r="AB171" s="171"/>
      <c r="AC171" s="171"/>
      <c r="AD171" s="171"/>
      <c r="AE171" s="171"/>
      <c r="AF171" s="171"/>
      <c r="AG171" s="171"/>
      <c r="AH171" s="171"/>
      <c r="AI171" s="171"/>
      <c r="AJ171" s="171"/>
      <c r="AK171" s="171"/>
      <c r="AL171" s="171"/>
      <c r="AM171" s="171"/>
      <c r="AN171" s="171"/>
      <c r="AO171" s="171"/>
      <c r="AP171" s="171"/>
      <c r="AQ171" s="171"/>
      <c r="AR171" s="171"/>
      <c r="AS171" s="171"/>
      <c r="AT171" s="235"/>
      <c r="AU171" s="235"/>
      <c r="AV171" s="235"/>
      <c r="AW171" s="235"/>
    </row>
    <row r="172" spans="1:49" ht="22.5" customHeight="1">
      <c r="A172" s="175"/>
      <c r="C172" s="170"/>
      <c r="D172" s="170"/>
      <c r="E172" s="200"/>
      <c r="F172" s="200"/>
      <c r="G172" s="200"/>
      <c r="H172" s="200"/>
      <c r="I172" s="200"/>
      <c r="J172" s="200"/>
      <c r="K172" s="200"/>
      <c r="L172" s="200"/>
      <c r="M172" s="200"/>
      <c r="N172" s="200"/>
      <c r="O172" s="200"/>
      <c r="P172" s="200"/>
      <c r="Q172" s="200"/>
      <c r="R172" s="200"/>
      <c r="S172" s="200"/>
      <c r="T172" s="200"/>
      <c r="U172" s="200"/>
      <c r="V172" s="179"/>
      <c r="X172" s="214"/>
      <c r="Y172" s="214"/>
      <c r="Z172" s="170"/>
      <c r="AA172" s="170"/>
      <c r="AB172" s="171"/>
      <c r="AC172" s="171"/>
      <c r="AD172" s="171"/>
      <c r="AE172" s="171"/>
      <c r="AF172" s="171"/>
      <c r="AG172" s="171"/>
      <c r="AH172" s="171"/>
      <c r="AI172" s="171"/>
      <c r="AJ172" s="171"/>
      <c r="AK172" s="171"/>
      <c r="AL172" s="171"/>
      <c r="AM172" s="171"/>
      <c r="AN172" s="171"/>
      <c r="AO172" s="171"/>
      <c r="AP172" s="171"/>
      <c r="AQ172" s="171"/>
      <c r="AR172" s="171"/>
      <c r="AS172" s="171"/>
      <c r="AT172" s="235"/>
      <c r="AU172" s="235"/>
      <c r="AV172" s="235"/>
      <c r="AW172" s="235"/>
    </row>
    <row r="173" spans="1:49" ht="22.5" customHeight="1">
      <c r="A173" s="175"/>
      <c r="C173" s="170"/>
      <c r="D173" s="170"/>
      <c r="E173" s="200"/>
      <c r="F173" s="200"/>
      <c r="G173" s="200"/>
      <c r="H173" s="200"/>
      <c r="I173" s="200"/>
      <c r="J173" s="200"/>
      <c r="K173" s="200"/>
      <c r="L173" s="200"/>
      <c r="M173" s="200"/>
      <c r="N173" s="200"/>
      <c r="O173" s="200"/>
      <c r="P173" s="200"/>
      <c r="Q173" s="200"/>
      <c r="R173" s="200"/>
      <c r="S173" s="200"/>
      <c r="T173" s="200"/>
      <c r="U173" s="200"/>
      <c r="V173" s="179"/>
      <c r="X173" s="214"/>
      <c r="Y173" s="214"/>
      <c r="Z173" s="170"/>
      <c r="AA173" s="170"/>
      <c r="AB173" s="171"/>
      <c r="AC173" s="171"/>
      <c r="AD173" s="171"/>
      <c r="AE173" s="171"/>
      <c r="AF173" s="171"/>
      <c r="AG173" s="171"/>
      <c r="AH173" s="171"/>
      <c r="AI173" s="171"/>
      <c r="AJ173" s="171"/>
      <c r="AK173" s="171"/>
      <c r="AL173" s="171"/>
      <c r="AM173" s="171"/>
      <c r="AN173" s="171"/>
      <c r="AO173" s="171"/>
      <c r="AP173" s="171"/>
      <c r="AQ173" s="171"/>
      <c r="AR173" s="171"/>
      <c r="AS173" s="171"/>
      <c r="AT173" s="235"/>
      <c r="AU173" s="235"/>
      <c r="AV173" s="235"/>
      <c r="AW173" s="235"/>
    </row>
    <row r="174" spans="1:49" ht="22.5" customHeight="1">
      <c r="A174" s="176"/>
      <c r="B174" s="172"/>
      <c r="C174" s="173"/>
      <c r="D174" s="173"/>
      <c r="E174" s="174"/>
      <c r="F174" s="174"/>
      <c r="G174" s="174"/>
      <c r="H174" s="174"/>
      <c r="I174" s="174"/>
      <c r="J174" s="174"/>
      <c r="K174" s="174"/>
      <c r="L174" s="174"/>
      <c r="M174" s="174"/>
      <c r="N174" s="174"/>
      <c r="O174" s="174"/>
      <c r="P174" s="174"/>
      <c r="Q174" s="174"/>
      <c r="R174" s="174"/>
      <c r="S174" s="174"/>
      <c r="T174" s="174"/>
      <c r="U174" s="174"/>
      <c r="V174" s="180"/>
      <c r="X174" s="214"/>
      <c r="Y174" s="214"/>
      <c r="Z174" s="170"/>
      <c r="AA174" s="170"/>
      <c r="AB174" s="171"/>
      <c r="AC174" s="171"/>
      <c r="AD174" s="171"/>
      <c r="AE174" s="171"/>
      <c r="AF174" s="171"/>
      <c r="AG174" s="171"/>
      <c r="AH174" s="171"/>
      <c r="AI174" s="171"/>
      <c r="AJ174" s="171"/>
      <c r="AK174" s="171"/>
      <c r="AL174" s="171"/>
      <c r="AM174" s="171"/>
      <c r="AN174" s="171"/>
      <c r="AO174" s="171"/>
      <c r="AP174" s="171"/>
      <c r="AQ174" s="171"/>
      <c r="AR174" s="171"/>
      <c r="AS174" s="171"/>
      <c r="AT174" s="235"/>
      <c r="AU174" s="235"/>
      <c r="AV174" s="235"/>
      <c r="AW174" s="235"/>
    </row>
    <row r="176" spans="1:49" s="208" customFormat="1" ht="22.5" customHeight="1">
      <c r="A176" s="294" t="s">
        <v>333</v>
      </c>
      <c r="B176" s="294"/>
      <c r="C176" s="294"/>
      <c r="D176" s="294"/>
      <c r="E176" s="294"/>
      <c r="F176" s="294"/>
      <c r="G176" s="294"/>
      <c r="H176" s="294"/>
      <c r="I176" s="294"/>
      <c r="J176" s="294"/>
      <c r="K176" s="294"/>
      <c r="L176" s="294"/>
      <c r="M176" s="294"/>
      <c r="N176" s="294"/>
      <c r="O176" s="294"/>
      <c r="P176" s="294"/>
      <c r="Q176" s="294"/>
      <c r="R176" s="294"/>
      <c r="S176" s="294"/>
      <c r="T176" s="294"/>
      <c r="U176" s="294"/>
      <c r="V176" s="294"/>
      <c r="W176" s="209"/>
      <c r="X176" s="294" t="s">
        <v>334</v>
      </c>
      <c r="Y176" s="294"/>
      <c r="Z176" s="294"/>
      <c r="AA176" s="294"/>
      <c r="AB176" s="294"/>
      <c r="AC176" s="294"/>
      <c r="AD176" s="294"/>
      <c r="AE176" s="294"/>
      <c r="AF176" s="294"/>
      <c r="AG176" s="294"/>
      <c r="AH176" s="294"/>
      <c r="AI176" s="294"/>
      <c r="AJ176" s="294"/>
      <c r="AK176" s="294"/>
      <c r="AL176" s="294"/>
      <c r="AM176" s="294"/>
      <c r="AN176" s="294"/>
      <c r="AO176" s="294"/>
      <c r="AP176" s="294"/>
      <c r="AQ176" s="294"/>
      <c r="AR176" s="294"/>
      <c r="AS176" s="294"/>
      <c r="AT176" s="198"/>
      <c r="AU176" s="198"/>
      <c r="AV176" s="198"/>
      <c r="AW176" s="198"/>
    </row>
    <row r="177" spans="1:49" s="208" customFormat="1" ht="22.5" customHeight="1">
      <c r="A177" s="186"/>
      <c r="B177" s="187"/>
      <c r="C177" s="181"/>
      <c r="D177" s="181"/>
      <c r="E177" s="184"/>
      <c r="F177" s="184"/>
      <c r="G177" s="184"/>
      <c r="H177" s="184"/>
      <c r="I177" s="184"/>
      <c r="J177" s="184"/>
      <c r="K177" s="184"/>
      <c r="L177" s="184"/>
      <c r="M177" s="184"/>
      <c r="N177" s="184"/>
      <c r="O177" s="184"/>
      <c r="P177" s="184"/>
      <c r="Q177" s="184"/>
      <c r="R177" s="184"/>
      <c r="S177" s="184"/>
      <c r="T177" s="184"/>
      <c r="U177" s="184"/>
      <c r="V177" s="185"/>
      <c r="W177" s="209"/>
      <c r="X177" s="219" t="s">
        <v>105</v>
      </c>
      <c r="Y177" s="220" t="s">
        <v>125</v>
      </c>
      <c r="Z177" s="184" t="s">
        <v>95</v>
      </c>
      <c r="AA177" s="184" t="s">
        <v>96</v>
      </c>
      <c r="AB177" s="184" t="s">
        <v>107</v>
      </c>
      <c r="AC177" s="184" t="s">
        <v>108</v>
      </c>
      <c r="AD177" s="184" t="s">
        <v>109</v>
      </c>
      <c r="AE177" s="184" t="s">
        <v>110</v>
      </c>
      <c r="AF177" s="184" t="s">
        <v>111</v>
      </c>
      <c r="AG177" s="184" t="s">
        <v>112</v>
      </c>
      <c r="AH177" s="184" t="s">
        <v>113</v>
      </c>
      <c r="AI177" s="184" t="s">
        <v>114</v>
      </c>
      <c r="AJ177" s="184" t="s">
        <v>115</v>
      </c>
      <c r="AK177" s="184" t="s">
        <v>116</v>
      </c>
      <c r="AL177" s="184" t="s">
        <v>117</v>
      </c>
      <c r="AM177" s="184" t="s">
        <v>118</v>
      </c>
      <c r="AN177" s="184" t="s">
        <v>119</v>
      </c>
      <c r="AO177" s="184" t="s">
        <v>120</v>
      </c>
      <c r="AP177" s="184" t="s">
        <v>121</v>
      </c>
      <c r="AQ177" s="184" t="s">
        <v>122</v>
      </c>
      <c r="AR177" s="184" t="s">
        <v>123</v>
      </c>
      <c r="AS177" s="185" t="s">
        <v>124</v>
      </c>
      <c r="AT177" s="202" t="s">
        <v>126</v>
      </c>
      <c r="AU177" s="201" t="s">
        <v>127</v>
      </c>
      <c r="AV177" s="201" t="s">
        <v>128</v>
      </c>
      <c r="AW177" s="203" t="s">
        <v>129</v>
      </c>
    </row>
    <row r="178" spans="1:49" ht="22.5" customHeight="1">
      <c r="X178" s="231" t="s">
        <v>133</v>
      </c>
      <c r="Y178" s="232" t="s">
        <v>335</v>
      </c>
      <c r="Z178" s="170">
        <v>46022</v>
      </c>
      <c r="AA178" s="168">
        <v>46386</v>
      </c>
      <c r="AB178" s="223" t="str">
        <f t="shared" ref="AB178:AK180" si="56">IF(AND($Z178&lt;=(AB$3+6),$AA178&gt;=AB$3),"■","")</f>
        <v>■</v>
      </c>
      <c r="AC178" s="223" t="str">
        <f t="shared" si="56"/>
        <v>■</v>
      </c>
      <c r="AD178" s="223" t="str">
        <f t="shared" si="56"/>
        <v>■</v>
      </c>
      <c r="AE178" s="223" t="str">
        <f t="shared" si="56"/>
        <v>■</v>
      </c>
      <c r="AF178" s="223" t="str">
        <f t="shared" si="56"/>
        <v>■</v>
      </c>
      <c r="AG178" s="223" t="str">
        <f t="shared" si="56"/>
        <v>■</v>
      </c>
      <c r="AH178" s="223" t="str">
        <f t="shared" si="56"/>
        <v>■</v>
      </c>
      <c r="AI178" s="223" t="str">
        <f t="shared" si="56"/>
        <v>■</v>
      </c>
      <c r="AJ178" s="223" t="str">
        <f t="shared" si="56"/>
        <v>■</v>
      </c>
      <c r="AK178" s="223" t="str">
        <f t="shared" si="56"/>
        <v>■</v>
      </c>
      <c r="AL178" s="223" t="str">
        <f t="shared" ref="AL178:AS180" si="57">IF(AND($Z178&lt;=(AL$3+6),$AA178&gt;=AL$3),"■","")</f>
        <v>■</v>
      </c>
      <c r="AM178" s="223" t="str">
        <f t="shared" si="57"/>
        <v>■</v>
      </c>
      <c r="AN178" s="223" t="str">
        <f t="shared" si="57"/>
        <v>■</v>
      </c>
      <c r="AO178" s="223" t="str">
        <f t="shared" si="57"/>
        <v>■</v>
      </c>
      <c r="AP178" s="223" t="str">
        <f t="shared" si="57"/>
        <v>■</v>
      </c>
      <c r="AQ178" s="223" t="str">
        <f t="shared" si="57"/>
        <v>■</v>
      </c>
      <c r="AR178" s="223" t="str">
        <f t="shared" si="57"/>
        <v>■</v>
      </c>
      <c r="AS178" s="224" t="str">
        <f t="shared" si="57"/>
        <v>■</v>
      </c>
      <c r="AT178" s="175" t="s">
        <v>206</v>
      </c>
      <c r="AU178" s="169">
        <v>1000000</v>
      </c>
      <c r="AV178" s="169" t="s">
        <v>281</v>
      </c>
      <c r="AW178" s="241" t="s">
        <v>336</v>
      </c>
    </row>
    <row r="179" spans="1:49" ht="22.5" customHeight="1">
      <c r="X179" s="231" t="s">
        <v>22</v>
      </c>
      <c r="Y179" s="232" t="s">
        <v>335</v>
      </c>
      <c r="Z179" s="170">
        <v>46022</v>
      </c>
      <c r="AA179" s="168">
        <v>46386</v>
      </c>
      <c r="AB179" s="182" t="str">
        <f t="shared" si="56"/>
        <v>■</v>
      </c>
      <c r="AC179" s="182" t="str">
        <f t="shared" si="56"/>
        <v>■</v>
      </c>
      <c r="AD179" s="182" t="str">
        <f t="shared" si="56"/>
        <v>■</v>
      </c>
      <c r="AE179" s="182" t="str">
        <f t="shared" si="56"/>
        <v>■</v>
      </c>
      <c r="AF179" s="182" t="str">
        <f t="shared" si="56"/>
        <v>■</v>
      </c>
      <c r="AG179" s="182" t="str">
        <f t="shared" si="56"/>
        <v>■</v>
      </c>
      <c r="AH179" s="182" t="str">
        <f t="shared" si="56"/>
        <v>■</v>
      </c>
      <c r="AI179" s="182" t="str">
        <f t="shared" si="56"/>
        <v>■</v>
      </c>
      <c r="AJ179" s="182" t="str">
        <f t="shared" si="56"/>
        <v>■</v>
      </c>
      <c r="AK179" s="182" t="str">
        <f t="shared" si="56"/>
        <v>■</v>
      </c>
      <c r="AL179" s="182" t="str">
        <f t="shared" si="57"/>
        <v>■</v>
      </c>
      <c r="AM179" s="182" t="str">
        <f t="shared" si="57"/>
        <v>■</v>
      </c>
      <c r="AN179" s="182" t="str">
        <f t="shared" si="57"/>
        <v>■</v>
      </c>
      <c r="AO179" s="182" t="str">
        <f t="shared" si="57"/>
        <v>■</v>
      </c>
      <c r="AP179" s="182" t="str">
        <f t="shared" si="57"/>
        <v>■</v>
      </c>
      <c r="AQ179" s="182" t="str">
        <f t="shared" si="57"/>
        <v>■</v>
      </c>
      <c r="AR179" s="182" t="str">
        <f t="shared" si="57"/>
        <v>■</v>
      </c>
      <c r="AS179" s="225" t="str">
        <f t="shared" si="57"/>
        <v>■</v>
      </c>
      <c r="AT179" s="175" t="s">
        <v>206</v>
      </c>
      <c r="AU179" s="169">
        <v>7500000</v>
      </c>
      <c r="AV179" s="169" t="s">
        <v>281</v>
      </c>
      <c r="AW179" s="241" t="s">
        <v>337</v>
      </c>
    </row>
    <row r="180" spans="1:49" ht="22.5" customHeight="1">
      <c r="X180" s="233" t="s">
        <v>28</v>
      </c>
      <c r="Y180" s="234" t="s">
        <v>335</v>
      </c>
      <c r="Z180" s="173">
        <v>46022</v>
      </c>
      <c r="AA180" s="228">
        <v>46386</v>
      </c>
      <c r="AB180" s="229" t="str">
        <f t="shared" si="56"/>
        <v>■</v>
      </c>
      <c r="AC180" s="229" t="str">
        <f t="shared" si="56"/>
        <v>■</v>
      </c>
      <c r="AD180" s="229" t="str">
        <f t="shared" si="56"/>
        <v>■</v>
      </c>
      <c r="AE180" s="229" t="str">
        <f t="shared" si="56"/>
        <v>■</v>
      </c>
      <c r="AF180" s="229" t="str">
        <f t="shared" si="56"/>
        <v>■</v>
      </c>
      <c r="AG180" s="229" t="str">
        <f t="shared" si="56"/>
        <v>■</v>
      </c>
      <c r="AH180" s="229" t="str">
        <f t="shared" si="56"/>
        <v>■</v>
      </c>
      <c r="AI180" s="229" t="str">
        <f t="shared" si="56"/>
        <v>■</v>
      </c>
      <c r="AJ180" s="229" t="str">
        <f t="shared" si="56"/>
        <v>■</v>
      </c>
      <c r="AK180" s="229" t="str">
        <f t="shared" si="56"/>
        <v>■</v>
      </c>
      <c r="AL180" s="229" t="str">
        <f t="shared" si="57"/>
        <v>■</v>
      </c>
      <c r="AM180" s="229" t="str">
        <f t="shared" si="57"/>
        <v>■</v>
      </c>
      <c r="AN180" s="229" t="str">
        <f t="shared" si="57"/>
        <v>■</v>
      </c>
      <c r="AO180" s="229" t="str">
        <f t="shared" si="57"/>
        <v>■</v>
      </c>
      <c r="AP180" s="229" t="str">
        <f t="shared" si="57"/>
        <v>■</v>
      </c>
      <c r="AQ180" s="229" t="str">
        <f t="shared" si="57"/>
        <v>■</v>
      </c>
      <c r="AR180" s="229" t="str">
        <f t="shared" si="57"/>
        <v>■</v>
      </c>
      <c r="AS180" s="230" t="str">
        <f t="shared" si="57"/>
        <v>■</v>
      </c>
      <c r="AT180" s="176" t="s">
        <v>206</v>
      </c>
      <c r="AU180" s="172">
        <v>750000</v>
      </c>
      <c r="AV180" s="172" t="s">
        <v>281</v>
      </c>
      <c r="AW180" s="242" t="s">
        <v>336</v>
      </c>
    </row>
    <row r="184" spans="1:49" ht="22.5" customHeight="1">
      <c r="X184" s="236"/>
      <c r="Y184" s="236"/>
      <c r="Z184"/>
      <c r="AA184"/>
      <c r="AB184"/>
      <c r="AC184"/>
      <c r="AD184"/>
      <c r="AE184"/>
      <c r="AF184"/>
      <c r="AG184"/>
      <c r="AH184"/>
      <c r="AI184"/>
      <c r="AJ184"/>
      <c r="AK184"/>
      <c r="AL184"/>
      <c r="AM184"/>
      <c r="AN184"/>
      <c r="AO184"/>
      <c r="AP184"/>
      <c r="AQ184"/>
      <c r="AR184"/>
      <c r="AS184"/>
    </row>
    <row r="185" spans="1:49" ht="22.5" customHeight="1">
      <c r="X185" s="236"/>
      <c r="Y185" s="236"/>
      <c r="Z185"/>
      <c r="AA185"/>
      <c r="AB185"/>
      <c r="AC185"/>
      <c r="AD185"/>
      <c r="AE185"/>
      <c r="AF185"/>
      <c r="AG185"/>
      <c r="AH185"/>
      <c r="AI185"/>
      <c r="AJ185"/>
      <c r="AK185"/>
      <c r="AL185"/>
      <c r="AM185"/>
      <c r="AN185"/>
      <c r="AO185"/>
      <c r="AP185"/>
      <c r="AQ185"/>
      <c r="AR185"/>
      <c r="AS185"/>
    </row>
    <row r="186" spans="1:49" ht="22.5" customHeight="1">
      <c r="X186" s="236"/>
      <c r="Y186" s="236"/>
      <c r="Z186"/>
      <c r="AA186"/>
      <c r="AB186"/>
      <c r="AC186"/>
      <c r="AD186"/>
      <c r="AE186"/>
      <c r="AF186"/>
      <c r="AG186"/>
      <c r="AH186"/>
      <c r="AI186"/>
      <c r="AJ186"/>
      <c r="AK186"/>
      <c r="AL186"/>
      <c r="AM186"/>
      <c r="AN186"/>
      <c r="AO186"/>
      <c r="AP186"/>
      <c r="AQ186"/>
      <c r="AR186"/>
      <c r="AS186"/>
    </row>
    <row r="187" spans="1:49" ht="22.5" customHeight="1">
      <c r="X187" s="236"/>
      <c r="Y187" s="236"/>
      <c r="Z187"/>
      <c r="AA187"/>
      <c r="AB187"/>
      <c r="AC187"/>
      <c r="AD187"/>
      <c r="AE187"/>
      <c r="AF187"/>
      <c r="AG187"/>
      <c r="AH187"/>
      <c r="AI187"/>
      <c r="AJ187"/>
      <c r="AK187"/>
      <c r="AL187"/>
      <c r="AM187"/>
      <c r="AN187"/>
      <c r="AO187"/>
      <c r="AP187"/>
      <c r="AQ187"/>
      <c r="AR187"/>
      <c r="AS187"/>
    </row>
    <row r="188" spans="1:49" ht="22.5" customHeight="1">
      <c r="X188" s="236"/>
      <c r="Y188" s="236"/>
      <c r="Z188"/>
      <c r="AA188"/>
      <c r="AB188"/>
      <c r="AC188"/>
      <c r="AD188"/>
      <c r="AE188"/>
      <c r="AF188"/>
      <c r="AG188"/>
      <c r="AH188"/>
      <c r="AI188"/>
      <c r="AJ188"/>
      <c r="AK188"/>
      <c r="AL188"/>
      <c r="AM188"/>
      <c r="AN188"/>
      <c r="AO188"/>
      <c r="AP188"/>
      <c r="AQ188"/>
      <c r="AR188"/>
      <c r="AS188"/>
    </row>
    <row r="189" spans="1:49" ht="22.5" customHeight="1">
      <c r="X189" s="236"/>
      <c r="Y189" s="236"/>
      <c r="Z189"/>
      <c r="AA189"/>
      <c r="AB189"/>
      <c r="AC189"/>
      <c r="AD189"/>
      <c r="AE189"/>
      <c r="AF189"/>
      <c r="AG189"/>
      <c r="AH189"/>
      <c r="AI189"/>
      <c r="AJ189"/>
      <c r="AK189"/>
      <c r="AL189"/>
      <c r="AM189"/>
      <c r="AN189"/>
      <c r="AO189"/>
      <c r="AP189"/>
      <c r="AQ189"/>
      <c r="AR189"/>
      <c r="AS189"/>
    </row>
    <row r="190" spans="1:49" ht="22.5" customHeight="1">
      <c r="X190" s="236"/>
      <c r="Y190" s="236"/>
      <c r="Z190"/>
      <c r="AA190"/>
      <c r="AB190"/>
      <c r="AC190"/>
      <c r="AD190"/>
      <c r="AE190"/>
      <c r="AF190"/>
      <c r="AG190"/>
      <c r="AH190"/>
      <c r="AI190"/>
      <c r="AJ190"/>
      <c r="AK190"/>
      <c r="AL190"/>
      <c r="AM190"/>
      <c r="AN190"/>
      <c r="AO190"/>
      <c r="AP190"/>
      <c r="AQ190"/>
      <c r="AR190"/>
      <c r="AS190"/>
    </row>
    <row r="191" spans="1:49" ht="22.5" customHeight="1">
      <c r="X191" s="236"/>
      <c r="Y191" s="236"/>
      <c r="Z191"/>
      <c r="AA191"/>
      <c r="AB191"/>
      <c r="AC191"/>
      <c r="AD191"/>
      <c r="AE191"/>
      <c r="AF191"/>
      <c r="AG191"/>
      <c r="AH191"/>
      <c r="AI191"/>
      <c r="AJ191"/>
      <c r="AK191"/>
      <c r="AL191"/>
      <c r="AM191"/>
      <c r="AN191"/>
      <c r="AO191"/>
      <c r="AP191"/>
      <c r="AQ191"/>
      <c r="AR191"/>
      <c r="AS191"/>
    </row>
  </sheetData>
  <mergeCells count="33">
    <mergeCell ref="X130:AS130"/>
    <mergeCell ref="X71:AS71"/>
    <mergeCell ref="X43:AS43"/>
    <mergeCell ref="A176:V176"/>
    <mergeCell ref="X176:AS176"/>
    <mergeCell ref="X153:AS153"/>
    <mergeCell ref="A164:V164"/>
    <mergeCell ref="X164:AS164"/>
    <mergeCell ref="A153:V153"/>
    <mergeCell ref="A114:V114"/>
    <mergeCell ref="A122:V122"/>
    <mergeCell ref="A130:V130"/>
    <mergeCell ref="A142:V142"/>
    <mergeCell ref="X142:AS142"/>
    <mergeCell ref="X122:AS122"/>
    <mergeCell ref="X114:AS114"/>
    <mergeCell ref="A1:V1"/>
    <mergeCell ref="A4:V4"/>
    <mergeCell ref="A18:V18"/>
    <mergeCell ref="A29:V29"/>
    <mergeCell ref="A43:V43"/>
    <mergeCell ref="X4:AS4"/>
    <mergeCell ref="A71:V71"/>
    <mergeCell ref="A82:V82"/>
    <mergeCell ref="A96:V96"/>
    <mergeCell ref="A106:V106"/>
    <mergeCell ref="X18:AS18"/>
    <mergeCell ref="X57:AS57"/>
    <mergeCell ref="X82:AS82"/>
    <mergeCell ref="X106:AS106"/>
    <mergeCell ref="A57:V57"/>
    <mergeCell ref="X96:AS96"/>
    <mergeCell ref="X29:AS29"/>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2F166-22D5-4D64-BA11-9467906D64C4}">
  <sheetPr filterMode="1"/>
  <dimension ref="A1:FJ39"/>
  <sheetViews>
    <sheetView tabSelected="1" zoomScaleNormal="100" workbookViewId="0">
      <selection activeCell="V4" sqref="V4"/>
    </sheetView>
  </sheetViews>
  <sheetFormatPr defaultColWidth="9.140625" defaultRowHeight="15"/>
  <sheetData>
    <row r="1" spans="1:166">
      <c r="A1" s="195" t="s">
        <v>338</v>
      </c>
      <c r="B1" s="195" t="s">
        <v>339</v>
      </c>
      <c r="C1" s="195" t="s">
        <v>340</v>
      </c>
      <c r="D1" s="195" t="s">
        <v>341</v>
      </c>
      <c r="E1" s="195" t="s">
        <v>342</v>
      </c>
      <c r="F1" s="195" t="s">
        <v>343</v>
      </c>
      <c r="G1" s="195" t="s">
        <v>344</v>
      </c>
      <c r="H1" s="195" t="s">
        <v>345</v>
      </c>
      <c r="I1" s="195" t="s">
        <v>346</v>
      </c>
      <c r="J1" s="195" t="s">
        <v>347</v>
      </c>
      <c r="K1" s="195" t="s">
        <v>348</v>
      </c>
      <c r="L1" s="195" t="s">
        <v>349</v>
      </c>
      <c r="M1" s="195" t="s">
        <v>350</v>
      </c>
      <c r="N1" s="195" t="s">
        <v>351</v>
      </c>
      <c r="O1" s="195" t="s">
        <v>352</v>
      </c>
      <c r="P1" s="195" t="s">
        <v>353</v>
      </c>
      <c r="Q1" s="195" t="s">
        <v>354</v>
      </c>
      <c r="R1" s="195" t="s">
        <v>355</v>
      </c>
      <c r="S1" s="195" t="s">
        <v>356</v>
      </c>
      <c r="T1" s="195" t="s">
        <v>357</v>
      </c>
      <c r="U1" s="195" t="s">
        <v>358</v>
      </c>
      <c r="V1" s="195" t="s">
        <v>359</v>
      </c>
      <c r="W1" s="195" t="s">
        <v>360</v>
      </c>
      <c r="X1" s="195" t="s">
        <v>361</v>
      </c>
      <c r="Y1" s="195" t="s">
        <v>362</v>
      </c>
      <c r="Z1" s="195" t="s">
        <v>363</v>
      </c>
      <c r="AA1" s="195" t="s">
        <v>364</v>
      </c>
      <c r="AB1" s="195" t="s">
        <v>365</v>
      </c>
      <c r="AC1" s="195" t="s">
        <v>366</v>
      </c>
      <c r="AD1" s="195" t="s">
        <v>367</v>
      </c>
      <c r="AE1" s="195" t="s">
        <v>368</v>
      </c>
      <c r="AF1" s="195" t="s">
        <v>369</v>
      </c>
      <c r="AG1" s="195" t="s">
        <v>370</v>
      </c>
      <c r="AH1" s="195" t="s">
        <v>371</v>
      </c>
      <c r="AI1" s="195" t="s">
        <v>372</v>
      </c>
      <c r="AJ1" s="195" t="s">
        <v>373</v>
      </c>
      <c r="AK1" s="195" t="s">
        <v>374</v>
      </c>
      <c r="AL1" s="195" t="s">
        <v>375</v>
      </c>
      <c r="AM1" s="195" t="s">
        <v>376</v>
      </c>
      <c r="AN1" s="195" t="s">
        <v>377</v>
      </c>
      <c r="AO1" s="195" t="s">
        <v>378</v>
      </c>
      <c r="AP1" s="195" t="s">
        <v>379</v>
      </c>
      <c r="AQ1" s="195" t="s">
        <v>380</v>
      </c>
      <c r="AR1" s="195" t="s">
        <v>381</v>
      </c>
      <c r="AS1" s="195" t="s">
        <v>382</v>
      </c>
      <c r="AT1" s="195" t="s">
        <v>383</v>
      </c>
      <c r="AU1" s="195" t="s">
        <v>384</v>
      </c>
      <c r="AV1" s="195" t="s">
        <v>385</v>
      </c>
      <c r="AW1" s="195" t="s">
        <v>386</v>
      </c>
      <c r="AX1" s="195" t="s">
        <v>387</v>
      </c>
      <c r="AY1" s="195" t="s">
        <v>388</v>
      </c>
      <c r="AZ1" s="195" t="s">
        <v>389</v>
      </c>
      <c r="BA1" s="195" t="s">
        <v>390</v>
      </c>
      <c r="BB1" s="195" t="s">
        <v>391</v>
      </c>
      <c r="BC1" s="195" t="s">
        <v>392</v>
      </c>
      <c r="BD1" s="195" t="s">
        <v>393</v>
      </c>
      <c r="BE1" s="195" t="s">
        <v>394</v>
      </c>
      <c r="BF1" s="195" t="s">
        <v>395</v>
      </c>
      <c r="BG1" s="195" t="s">
        <v>396</v>
      </c>
      <c r="BH1" s="195" t="s">
        <v>397</v>
      </c>
      <c r="BI1" s="195" t="s">
        <v>398</v>
      </c>
      <c r="BJ1" s="195" t="s">
        <v>399</v>
      </c>
      <c r="BK1" s="195" t="s">
        <v>400</v>
      </c>
      <c r="BL1" s="195" t="s">
        <v>401</v>
      </c>
      <c r="BM1" s="195" t="s">
        <v>402</v>
      </c>
      <c r="BN1" s="195" t="s">
        <v>403</v>
      </c>
      <c r="BO1" s="195" t="s">
        <v>404</v>
      </c>
      <c r="BP1" s="195" t="s">
        <v>405</v>
      </c>
      <c r="BQ1" s="195" t="s">
        <v>406</v>
      </c>
      <c r="BR1" s="195" t="s">
        <v>407</v>
      </c>
      <c r="BS1" s="195" t="s">
        <v>408</v>
      </c>
      <c r="BT1" s="195" t="s">
        <v>409</v>
      </c>
      <c r="BU1" s="195" t="s">
        <v>410</v>
      </c>
      <c r="BV1" s="195" t="s">
        <v>411</v>
      </c>
      <c r="BW1" s="195" t="s">
        <v>412</v>
      </c>
      <c r="BX1" s="195" t="s">
        <v>413</v>
      </c>
      <c r="BY1" s="195" t="s">
        <v>414</v>
      </c>
      <c r="BZ1" s="195" t="s">
        <v>415</v>
      </c>
      <c r="CA1" s="195" t="s">
        <v>416</v>
      </c>
      <c r="CB1" s="195" t="s">
        <v>417</v>
      </c>
      <c r="CC1" s="195" t="s">
        <v>418</v>
      </c>
      <c r="CD1" s="195" t="s">
        <v>419</v>
      </c>
      <c r="CE1" s="195" t="s">
        <v>420</v>
      </c>
      <c r="CF1" s="195" t="s">
        <v>421</v>
      </c>
      <c r="CG1" s="195" t="s">
        <v>422</v>
      </c>
      <c r="CH1" s="195" t="s">
        <v>423</v>
      </c>
      <c r="CI1" s="195" t="s">
        <v>424</v>
      </c>
      <c r="CJ1" s="195" t="s">
        <v>425</v>
      </c>
      <c r="CK1" s="195" t="s">
        <v>426</v>
      </c>
      <c r="CL1" s="195" t="s">
        <v>427</v>
      </c>
      <c r="CM1" s="195" t="s">
        <v>428</v>
      </c>
      <c r="CN1" s="195" t="s">
        <v>429</v>
      </c>
      <c r="CO1" s="195" t="s">
        <v>430</v>
      </c>
      <c r="CP1" s="195" t="s">
        <v>431</v>
      </c>
      <c r="CQ1" s="195" t="s">
        <v>432</v>
      </c>
      <c r="CR1" s="195" t="s">
        <v>433</v>
      </c>
      <c r="CS1" s="195" t="s">
        <v>434</v>
      </c>
      <c r="CT1" s="195" t="s">
        <v>435</v>
      </c>
      <c r="CU1" s="195" t="s">
        <v>436</v>
      </c>
      <c r="CV1" s="195" t="s">
        <v>437</v>
      </c>
      <c r="CW1" s="195" t="s">
        <v>438</v>
      </c>
      <c r="CX1" s="195" t="s">
        <v>439</v>
      </c>
      <c r="CY1" s="195" t="s">
        <v>440</v>
      </c>
      <c r="CZ1" s="195" t="s">
        <v>441</v>
      </c>
      <c r="DA1" s="195" t="s">
        <v>442</v>
      </c>
      <c r="DB1" s="195" t="s">
        <v>443</v>
      </c>
      <c r="DC1" s="195" t="s">
        <v>444</v>
      </c>
      <c r="DD1" s="195" t="s">
        <v>445</v>
      </c>
      <c r="DE1" s="195" t="s">
        <v>446</v>
      </c>
      <c r="DF1" s="195" t="s">
        <v>447</v>
      </c>
      <c r="DG1" s="195" t="s">
        <v>448</v>
      </c>
      <c r="DH1" s="195" t="s">
        <v>449</v>
      </c>
      <c r="DI1" s="195" t="s">
        <v>450</v>
      </c>
      <c r="DJ1" s="195" t="s">
        <v>451</v>
      </c>
      <c r="DK1" s="195" t="s">
        <v>452</v>
      </c>
      <c r="DL1" s="195" t="s">
        <v>453</v>
      </c>
      <c r="DM1" s="195" t="s">
        <v>454</v>
      </c>
      <c r="DN1" s="195" t="s">
        <v>455</v>
      </c>
      <c r="DO1" s="195" t="s">
        <v>456</v>
      </c>
      <c r="DP1" s="195" t="s">
        <v>457</v>
      </c>
      <c r="DQ1" s="195" t="s">
        <v>458</v>
      </c>
      <c r="DR1" s="195" t="s">
        <v>459</v>
      </c>
      <c r="DS1" s="195" t="s">
        <v>460</v>
      </c>
      <c r="DT1" s="195" t="s">
        <v>461</v>
      </c>
      <c r="DU1" s="195" t="s">
        <v>462</v>
      </c>
      <c r="DV1" s="195" t="s">
        <v>463</v>
      </c>
      <c r="DW1" s="195" t="s">
        <v>464</v>
      </c>
      <c r="DX1" s="195" t="s">
        <v>465</v>
      </c>
      <c r="DY1" s="195" t="s">
        <v>466</v>
      </c>
      <c r="DZ1" s="195" t="s">
        <v>467</v>
      </c>
      <c r="EA1" s="195" t="s">
        <v>468</v>
      </c>
      <c r="EB1" s="195" t="s">
        <v>469</v>
      </c>
      <c r="EC1" s="195" t="s">
        <v>470</v>
      </c>
      <c r="ED1" s="195" t="s">
        <v>471</v>
      </c>
      <c r="EE1" s="195" t="s">
        <v>472</v>
      </c>
      <c r="EF1" s="195" t="s">
        <v>473</v>
      </c>
      <c r="EG1" s="195" t="s">
        <v>474</v>
      </c>
      <c r="EH1" s="195" t="s">
        <v>475</v>
      </c>
      <c r="EI1" s="195" t="s">
        <v>476</v>
      </c>
      <c r="EJ1" s="195" t="s">
        <v>477</v>
      </c>
      <c r="EK1" s="195" t="s">
        <v>478</v>
      </c>
      <c r="EL1" s="195" t="s">
        <v>479</v>
      </c>
      <c r="EM1" s="195" t="s">
        <v>480</v>
      </c>
      <c r="EN1" s="195" t="s">
        <v>481</v>
      </c>
      <c r="EO1" s="195" t="s">
        <v>482</v>
      </c>
      <c r="EP1" s="195" t="s">
        <v>483</v>
      </c>
      <c r="EQ1" s="195" t="s">
        <v>484</v>
      </c>
      <c r="ER1" s="195" t="s">
        <v>485</v>
      </c>
      <c r="ES1" s="195" t="s">
        <v>486</v>
      </c>
      <c r="ET1" s="195" t="s">
        <v>487</v>
      </c>
      <c r="EU1" s="195" t="s">
        <v>488</v>
      </c>
      <c r="EV1" s="195" t="s">
        <v>489</v>
      </c>
      <c r="EW1" s="195" t="s">
        <v>490</v>
      </c>
      <c r="EX1" s="195" t="s">
        <v>491</v>
      </c>
      <c r="EY1" s="195" t="s">
        <v>492</v>
      </c>
      <c r="EZ1" s="195" t="s">
        <v>493</v>
      </c>
      <c r="FA1" s="195" t="s">
        <v>494</v>
      </c>
      <c r="FB1" s="195" t="s">
        <v>495</v>
      </c>
      <c r="FC1" s="195" t="s">
        <v>496</v>
      </c>
      <c r="FD1" s="195" t="s">
        <v>497</v>
      </c>
      <c r="FE1" s="195" t="s">
        <v>498</v>
      </c>
      <c r="FF1" s="195" t="s">
        <v>499</v>
      </c>
      <c r="FG1" s="195" t="s">
        <v>500</v>
      </c>
      <c r="FH1" s="195" t="s">
        <v>501</v>
      </c>
      <c r="FI1" s="195" t="s">
        <v>502</v>
      </c>
      <c r="FJ1" s="195" t="s">
        <v>503</v>
      </c>
    </row>
    <row r="2" spans="1:166">
      <c r="A2" s="195" t="s">
        <v>504</v>
      </c>
      <c r="B2" s="195" t="s">
        <v>505</v>
      </c>
      <c r="C2" s="195" t="s">
        <v>506</v>
      </c>
      <c r="D2" s="195" t="s">
        <v>507</v>
      </c>
      <c r="E2" s="195" t="s">
        <v>342</v>
      </c>
      <c r="F2" s="195" t="s">
        <v>343</v>
      </c>
      <c r="G2" s="195" t="s">
        <v>344</v>
      </c>
      <c r="H2" s="195" t="s">
        <v>508</v>
      </c>
      <c r="I2" s="195" t="s">
        <v>509</v>
      </c>
      <c r="J2" s="195" t="s">
        <v>510</v>
      </c>
      <c r="K2" s="195" t="s">
        <v>511</v>
      </c>
      <c r="L2" s="195" t="s">
        <v>512</v>
      </c>
      <c r="M2" s="195" t="s">
        <v>513</v>
      </c>
      <c r="N2" s="195" t="s">
        <v>514</v>
      </c>
      <c r="O2" s="195" t="s">
        <v>515</v>
      </c>
      <c r="P2" s="195" t="s">
        <v>516</v>
      </c>
      <c r="Q2" s="195" t="s">
        <v>517</v>
      </c>
      <c r="R2" s="195" t="s">
        <v>518</v>
      </c>
      <c r="S2" s="195" t="s">
        <v>519</v>
      </c>
      <c r="T2" s="195" t="s">
        <v>520</v>
      </c>
      <c r="U2" s="195" t="s">
        <v>521</v>
      </c>
      <c r="V2" s="195" t="s">
        <v>522</v>
      </c>
      <c r="W2" s="195" t="s">
        <v>523</v>
      </c>
      <c r="X2" s="195" t="s">
        <v>524</v>
      </c>
      <c r="Y2" s="195" t="s">
        <v>525</v>
      </c>
      <c r="Z2" s="195" t="s">
        <v>526</v>
      </c>
      <c r="AA2" s="195" t="s">
        <v>527</v>
      </c>
      <c r="AB2" s="195" t="s">
        <v>528</v>
      </c>
      <c r="AC2" s="195" t="s">
        <v>529</v>
      </c>
      <c r="AD2" s="195" t="s">
        <v>530</v>
      </c>
      <c r="AE2" s="195" t="s">
        <v>531</v>
      </c>
      <c r="AF2" s="195" t="s">
        <v>532</v>
      </c>
      <c r="AG2" s="195" t="s">
        <v>533</v>
      </c>
      <c r="AH2" s="195" t="s">
        <v>534</v>
      </c>
      <c r="AI2" s="195" t="s">
        <v>535</v>
      </c>
      <c r="AJ2" s="195" t="s">
        <v>536</v>
      </c>
      <c r="AK2" s="195" t="s">
        <v>537</v>
      </c>
      <c r="AL2" s="195" t="s">
        <v>538</v>
      </c>
      <c r="AM2" s="195" t="s">
        <v>539</v>
      </c>
      <c r="AN2" s="195" t="s">
        <v>540</v>
      </c>
      <c r="AO2" s="195" t="s">
        <v>541</v>
      </c>
      <c r="AP2" s="195" t="s">
        <v>542</v>
      </c>
      <c r="AQ2" s="195" t="s">
        <v>543</v>
      </c>
      <c r="AR2" s="195" t="s">
        <v>544</v>
      </c>
      <c r="AS2" s="195" t="s">
        <v>545</v>
      </c>
      <c r="AT2" s="195" t="s">
        <v>546</v>
      </c>
      <c r="AU2" s="195" t="s">
        <v>547</v>
      </c>
      <c r="AV2" s="195" t="s">
        <v>548</v>
      </c>
      <c r="AW2" s="195" t="s">
        <v>549</v>
      </c>
      <c r="AX2" s="195" t="s">
        <v>550</v>
      </c>
      <c r="AY2" s="195" t="s">
        <v>551</v>
      </c>
      <c r="AZ2" s="195" t="s">
        <v>552</v>
      </c>
      <c r="BA2" s="195" t="s">
        <v>553</v>
      </c>
      <c r="BB2" s="195" t="s">
        <v>554</v>
      </c>
      <c r="BC2" s="195" t="s">
        <v>555</v>
      </c>
      <c r="BD2" s="195" t="s">
        <v>556</v>
      </c>
      <c r="BE2" s="195" t="s">
        <v>557</v>
      </c>
      <c r="BF2" s="195" t="s">
        <v>543</v>
      </c>
      <c r="BG2" s="195" t="s">
        <v>558</v>
      </c>
      <c r="BH2" s="195" t="s">
        <v>559</v>
      </c>
      <c r="BI2" s="195" t="s">
        <v>560</v>
      </c>
      <c r="BJ2" s="195" t="s">
        <v>561</v>
      </c>
      <c r="BK2" s="195" t="s">
        <v>562</v>
      </c>
      <c r="BL2" s="195" t="s">
        <v>563</v>
      </c>
      <c r="BM2" s="195" t="s">
        <v>564</v>
      </c>
      <c r="BN2" s="195" t="s">
        <v>565</v>
      </c>
      <c r="BO2" s="195" t="s">
        <v>566</v>
      </c>
      <c r="BP2" s="195" t="s">
        <v>567</v>
      </c>
      <c r="BQ2" s="195" t="s">
        <v>568</v>
      </c>
      <c r="BR2" s="195" t="s">
        <v>569</v>
      </c>
      <c r="BS2" s="195" t="s">
        <v>570</v>
      </c>
      <c r="BT2" s="195" t="s">
        <v>571</v>
      </c>
      <c r="BU2" s="195" t="s">
        <v>543</v>
      </c>
      <c r="BV2" s="195" t="s">
        <v>572</v>
      </c>
      <c r="BW2" s="195" t="s">
        <v>573</v>
      </c>
      <c r="BX2" s="195" t="s">
        <v>574</v>
      </c>
      <c r="BY2" s="195" t="s">
        <v>575</v>
      </c>
      <c r="BZ2" s="195" t="s">
        <v>576</v>
      </c>
      <c r="CA2" s="195" t="s">
        <v>577</v>
      </c>
      <c r="CB2" s="195" t="s">
        <v>578</v>
      </c>
      <c r="CC2" s="195" t="s">
        <v>579</v>
      </c>
      <c r="CD2" s="195" t="s">
        <v>580</v>
      </c>
      <c r="CE2" s="195" t="s">
        <v>581</v>
      </c>
      <c r="CF2" s="195" t="s">
        <v>582</v>
      </c>
      <c r="CG2" s="195" t="s">
        <v>583</v>
      </c>
      <c r="CH2" s="195" t="s">
        <v>584</v>
      </c>
      <c r="CI2" s="195" t="s">
        <v>585</v>
      </c>
      <c r="CJ2" s="195" t="s">
        <v>543</v>
      </c>
      <c r="CK2" s="195" t="s">
        <v>586</v>
      </c>
      <c r="CL2" s="195" t="s">
        <v>587</v>
      </c>
      <c r="CM2" s="195" t="s">
        <v>588</v>
      </c>
      <c r="CN2" s="195" t="s">
        <v>589</v>
      </c>
      <c r="CO2" s="195" t="s">
        <v>590</v>
      </c>
      <c r="CP2" s="195" t="s">
        <v>591</v>
      </c>
      <c r="CQ2" s="195" t="s">
        <v>592</v>
      </c>
      <c r="CR2" s="195" t="s">
        <v>593</v>
      </c>
      <c r="CS2" s="195" t="s">
        <v>594</v>
      </c>
      <c r="CT2" s="195" t="s">
        <v>595</v>
      </c>
      <c r="CU2" s="195" t="s">
        <v>596</v>
      </c>
      <c r="CV2" s="195" t="s">
        <v>597</v>
      </c>
      <c r="CW2" s="195" t="s">
        <v>598</v>
      </c>
      <c r="CX2" s="195" t="s">
        <v>599</v>
      </c>
      <c r="CY2" s="195" t="s">
        <v>543</v>
      </c>
      <c r="CZ2" s="195" t="s">
        <v>600</v>
      </c>
      <c r="DA2" s="195" t="s">
        <v>601</v>
      </c>
      <c r="DB2" s="195" t="s">
        <v>602</v>
      </c>
      <c r="DC2" s="195" t="s">
        <v>603</v>
      </c>
      <c r="DD2" s="195" t="s">
        <v>604</v>
      </c>
      <c r="DE2" s="195" t="s">
        <v>605</v>
      </c>
      <c r="DF2" s="195" t="s">
        <v>606</v>
      </c>
      <c r="DG2" s="195" t="s">
        <v>607</v>
      </c>
      <c r="DH2" s="195" t="s">
        <v>608</v>
      </c>
      <c r="DI2" s="195" t="s">
        <v>609</v>
      </c>
      <c r="DJ2" s="195" t="s">
        <v>610</v>
      </c>
      <c r="DK2" s="195" t="s">
        <v>611</v>
      </c>
      <c r="DL2" s="195" t="s">
        <v>612</v>
      </c>
      <c r="DM2" s="195" t="s">
        <v>613</v>
      </c>
      <c r="DN2" s="195" t="s">
        <v>543</v>
      </c>
      <c r="DO2" s="195" t="s">
        <v>614</v>
      </c>
      <c r="DP2" s="195" t="s">
        <v>615</v>
      </c>
      <c r="DQ2" s="195" t="s">
        <v>616</v>
      </c>
      <c r="DR2" s="195" t="s">
        <v>617</v>
      </c>
      <c r="DS2" s="195" t="s">
        <v>618</v>
      </c>
      <c r="DT2" s="195" t="s">
        <v>619</v>
      </c>
      <c r="DU2" s="195" t="s">
        <v>620</v>
      </c>
      <c r="DV2" s="195" t="s">
        <v>621</v>
      </c>
      <c r="DW2" s="195" t="s">
        <v>622</v>
      </c>
      <c r="DX2" s="195" t="s">
        <v>623</v>
      </c>
      <c r="DY2" s="195" t="s">
        <v>624</v>
      </c>
      <c r="DZ2" s="195" t="s">
        <v>625</v>
      </c>
      <c r="EA2" s="195" t="s">
        <v>626</v>
      </c>
      <c r="EB2" s="195" t="s">
        <v>627</v>
      </c>
      <c r="EC2" s="195" t="s">
        <v>543</v>
      </c>
      <c r="ED2" s="195" t="s">
        <v>628</v>
      </c>
      <c r="EE2" s="195" t="s">
        <v>629</v>
      </c>
      <c r="EF2" s="195" t="s">
        <v>630</v>
      </c>
      <c r="EG2" s="195" t="s">
        <v>631</v>
      </c>
      <c r="EH2" s="195" t="s">
        <v>632</v>
      </c>
      <c r="EI2" s="195" t="s">
        <v>633</v>
      </c>
      <c r="EJ2" s="195" t="s">
        <v>634</v>
      </c>
      <c r="EK2" s="195" t="s">
        <v>635</v>
      </c>
      <c r="EL2" s="195" t="s">
        <v>636</v>
      </c>
      <c r="EM2" s="195" t="s">
        <v>637</v>
      </c>
      <c r="EN2" s="195" t="s">
        <v>638</v>
      </c>
      <c r="EO2" s="195" t="s">
        <v>639</v>
      </c>
      <c r="EP2" s="195" t="s">
        <v>640</v>
      </c>
      <c r="EQ2" s="195" t="s">
        <v>641</v>
      </c>
      <c r="ER2" s="195" t="s">
        <v>543</v>
      </c>
      <c r="ES2" s="195" t="s">
        <v>642</v>
      </c>
      <c r="ET2" s="195" t="s">
        <v>643</v>
      </c>
      <c r="EU2" s="195" t="s">
        <v>644</v>
      </c>
      <c r="EV2" s="195" t="s">
        <v>645</v>
      </c>
      <c r="EW2" s="195" t="s">
        <v>646</v>
      </c>
      <c r="EX2" s="195" t="s">
        <v>647</v>
      </c>
      <c r="EY2" s="195" t="s">
        <v>648</v>
      </c>
      <c r="EZ2" s="195" t="s">
        <v>649</v>
      </c>
      <c r="FA2" s="195" t="s">
        <v>650</v>
      </c>
      <c r="FB2" s="195" t="s">
        <v>651</v>
      </c>
      <c r="FC2" s="195" t="s">
        <v>652</v>
      </c>
      <c r="FD2" s="195" t="s">
        <v>653</v>
      </c>
      <c r="FE2" s="195" t="s">
        <v>654</v>
      </c>
      <c r="FF2" s="195" t="s">
        <v>655</v>
      </c>
      <c r="FG2" s="195" t="s">
        <v>543</v>
      </c>
      <c r="FH2" s="195" t="s">
        <v>656</v>
      </c>
      <c r="FI2" s="195" t="s">
        <v>502</v>
      </c>
      <c r="FJ2" s="195" t="s">
        <v>503</v>
      </c>
    </row>
    <row r="3" spans="1:166" ht="285">
      <c r="A3" s="196">
        <v>46120.088634259257</v>
      </c>
      <c r="B3" s="196">
        <v>46120.128622685188</v>
      </c>
      <c r="C3" s="192" t="s">
        <v>507</v>
      </c>
      <c r="D3" s="192" t="s">
        <v>657</v>
      </c>
      <c r="E3">
        <v>100</v>
      </c>
      <c r="F3">
        <v>3455</v>
      </c>
      <c r="G3" s="192" t="s">
        <v>658</v>
      </c>
      <c r="H3" s="196">
        <v>46120.12863175926</v>
      </c>
      <c r="I3" s="192" t="s">
        <v>659</v>
      </c>
      <c r="J3" s="192" t="s">
        <v>660</v>
      </c>
      <c r="K3" s="192" t="s">
        <v>660</v>
      </c>
      <c r="L3" s="192" t="s">
        <v>660</v>
      </c>
      <c r="M3" s="192" t="s">
        <v>660</v>
      </c>
      <c r="N3">
        <v>-37.815899999999999</v>
      </c>
      <c r="O3">
        <v>144.96690000000001</v>
      </c>
      <c r="P3" s="192" t="s">
        <v>661</v>
      </c>
      <c r="Q3" s="192" t="s">
        <v>662</v>
      </c>
      <c r="R3" s="192" t="s">
        <v>14</v>
      </c>
      <c r="S3" s="192" t="s">
        <v>663</v>
      </c>
      <c r="T3" s="192" t="s">
        <v>302</v>
      </c>
      <c r="U3" s="192" t="s">
        <v>660</v>
      </c>
      <c r="V3" s="192" t="s">
        <v>660</v>
      </c>
      <c r="W3" s="192" t="s">
        <v>660</v>
      </c>
      <c r="X3" s="192" t="s">
        <v>660</v>
      </c>
      <c r="Y3" s="192" t="s">
        <v>660</v>
      </c>
      <c r="Z3" s="192" t="s">
        <v>300</v>
      </c>
      <c r="AA3" s="192" t="s">
        <v>660</v>
      </c>
      <c r="AB3" s="192" t="s">
        <v>660</v>
      </c>
      <c r="AC3" s="192" t="s">
        <v>138</v>
      </c>
      <c r="AD3" s="192" t="s">
        <v>660</v>
      </c>
      <c r="AE3" s="192" t="s">
        <v>664</v>
      </c>
      <c r="AF3" s="192" t="s">
        <v>265</v>
      </c>
      <c r="AG3" s="192" t="s">
        <v>660</v>
      </c>
      <c r="AH3" s="192" t="s">
        <v>665</v>
      </c>
      <c r="AI3" s="192" t="s">
        <v>666</v>
      </c>
      <c r="AJ3" s="192" t="s">
        <v>667</v>
      </c>
      <c r="AK3" s="192" t="s">
        <v>668</v>
      </c>
      <c r="AL3" s="192" t="s">
        <v>303</v>
      </c>
      <c r="AM3" s="192" t="s">
        <v>669</v>
      </c>
      <c r="AN3" s="192" t="s">
        <v>668</v>
      </c>
      <c r="AO3" s="192" t="s">
        <v>668</v>
      </c>
      <c r="AP3" s="192" t="s">
        <v>660</v>
      </c>
      <c r="AQ3" s="192" t="s">
        <v>668</v>
      </c>
      <c r="AR3" s="192" t="s">
        <v>660</v>
      </c>
      <c r="AS3" s="192" t="s">
        <v>660</v>
      </c>
      <c r="AT3" s="192" t="s">
        <v>660</v>
      </c>
      <c r="AU3" s="192" t="s">
        <v>660</v>
      </c>
      <c r="AV3" s="192" t="s">
        <v>660</v>
      </c>
      <c r="AW3" s="192" t="s">
        <v>660</v>
      </c>
      <c r="AX3" s="192" t="s">
        <v>660</v>
      </c>
      <c r="AY3" s="192" t="s">
        <v>660</v>
      </c>
      <c r="AZ3" s="192" t="s">
        <v>660</v>
      </c>
      <c r="BA3" s="192" t="s">
        <v>660</v>
      </c>
      <c r="BB3" s="192" t="s">
        <v>660</v>
      </c>
      <c r="BC3" s="192" t="s">
        <v>660</v>
      </c>
      <c r="BD3" s="192" t="s">
        <v>660</v>
      </c>
      <c r="BE3" s="192" t="s">
        <v>660</v>
      </c>
      <c r="BF3" s="192" t="s">
        <v>660</v>
      </c>
      <c r="BG3" s="192" t="s">
        <v>660</v>
      </c>
      <c r="BH3" s="192" t="s">
        <v>660</v>
      </c>
      <c r="BI3" s="192" t="s">
        <v>660</v>
      </c>
      <c r="BJ3" s="192" t="s">
        <v>660</v>
      </c>
      <c r="BK3" s="192" t="s">
        <v>660</v>
      </c>
      <c r="BL3" s="192" t="s">
        <v>660</v>
      </c>
      <c r="BM3" s="192" t="s">
        <v>660</v>
      </c>
      <c r="BN3" s="192" t="s">
        <v>660</v>
      </c>
      <c r="BO3" s="192" t="s">
        <v>660</v>
      </c>
      <c r="BP3" s="192" t="s">
        <v>660</v>
      </c>
      <c r="BQ3" s="192" t="s">
        <v>660</v>
      </c>
      <c r="BR3" s="192" t="s">
        <v>660</v>
      </c>
      <c r="BS3" s="192" t="s">
        <v>660</v>
      </c>
      <c r="BT3" s="192" t="s">
        <v>660</v>
      </c>
      <c r="BU3" s="192" t="s">
        <v>660</v>
      </c>
      <c r="BV3" s="192" t="s">
        <v>660</v>
      </c>
      <c r="BW3" s="192" t="s">
        <v>660</v>
      </c>
      <c r="BX3" s="192" t="s">
        <v>660</v>
      </c>
      <c r="BY3" s="192" t="s">
        <v>660</v>
      </c>
      <c r="BZ3" s="192" t="s">
        <v>660</v>
      </c>
      <c r="CA3" s="192" t="s">
        <v>660</v>
      </c>
      <c r="CB3" s="192" t="s">
        <v>660</v>
      </c>
      <c r="CC3" s="192" t="s">
        <v>660</v>
      </c>
      <c r="CD3" s="192" t="s">
        <v>660</v>
      </c>
      <c r="CE3" s="192" t="s">
        <v>660</v>
      </c>
      <c r="CF3" s="192" t="s">
        <v>660</v>
      </c>
      <c r="CG3" s="192" t="s">
        <v>660</v>
      </c>
      <c r="CH3" s="192" t="s">
        <v>660</v>
      </c>
      <c r="CI3" s="192" t="s">
        <v>660</v>
      </c>
      <c r="CJ3" s="192" t="s">
        <v>660</v>
      </c>
      <c r="CK3" s="192" t="s">
        <v>660</v>
      </c>
      <c r="CL3" s="192" t="s">
        <v>660</v>
      </c>
      <c r="CM3" s="192" t="s">
        <v>660</v>
      </c>
      <c r="CN3" s="192" t="s">
        <v>660</v>
      </c>
      <c r="CO3" s="192" t="s">
        <v>660</v>
      </c>
      <c r="CP3" s="192" t="s">
        <v>660</v>
      </c>
      <c r="CQ3" s="192" t="s">
        <v>660</v>
      </c>
      <c r="CR3" s="192" t="s">
        <v>660</v>
      </c>
      <c r="CS3" s="192" t="s">
        <v>660</v>
      </c>
      <c r="CT3" s="192" t="s">
        <v>660</v>
      </c>
      <c r="CU3" s="192" t="s">
        <v>660</v>
      </c>
      <c r="CV3" s="192" t="s">
        <v>660</v>
      </c>
      <c r="CW3" s="192" t="s">
        <v>660</v>
      </c>
      <c r="CX3" s="192" t="s">
        <v>660</v>
      </c>
      <c r="CY3" s="192" t="s">
        <v>660</v>
      </c>
      <c r="CZ3" s="192" t="s">
        <v>660</v>
      </c>
      <c r="DA3" s="192" t="s">
        <v>660</v>
      </c>
      <c r="DB3" s="192" t="s">
        <v>660</v>
      </c>
      <c r="DC3" s="192" t="s">
        <v>660</v>
      </c>
      <c r="DD3" s="192" t="s">
        <v>660</v>
      </c>
      <c r="DE3" s="192" t="s">
        <v>660</v>
      </c>
      <c r="DF3" s="192" t="s">
        <v>660</v>
      </c>
      <c r="DG3" s="192" t="s">
        <v>660</v>
      </c>
      <c r="DH3" s="192" t="s">
        <v>660</v>
      </c>
      <c r="DI3" s="192" t="s">
        <v>660</v>
      </c>
      <c r="DJ3" s="192" t="s">
        <v>660</v>
      </c>
      <c r="DK3" s="192" t="s">
        <v>660</v>
      </c>
      <c r="DL3" s="192" t="s">
        <v>660</v>
      </c>
      <c r="DM3" s="192" t="s">
        <v>660</v>
      </c>
      <c r="DN3" s="192" t="s">
        <v>660</v>
      </c>
      <c r="DO3" s="192" t="s">
        <v>138</v>
      </c>
      <c r="DP3" s="192" t="s">
        <v>660</v>
      </c>
      <c r="DQ3" s="192" t="s">
        <v>664</v>
      </c>
      <c r="DR3" s="192" t="s">
        <v>265</v>
      </c>
      <c r="DS3" s="192" t="s">
        <v>660</v>
      </c>
      <c r="DT3" s="192" t="s">
        <v>670</v>
      </c>
      <c r="DU3" s="192" t="s">
        <v>671</v>
      </c>
      <c r="DV3" s="192" t="s">
        <v>672</v>
      </c>
      <c r="DW3" s="192" t="s">
        <v>668</v>
      </c>
      <c r="DX3" s="192" t="s">
        <v>301</v>
      </c>
      <c r="DY3" s="192" t="s">
        <v>669</v>
      </c>
      <c r="DZ3" s="192" t="s">
        <v>668</v>
      </c>
      <c r="EA3" s="192" t="s">
        <v>668</v>
      </c>
      <c r="EB3" s="192" t="s">
        <v>660</v>
      </c>
      <c r="EC3" s="192" t="s">
        <v>673</v>
      </c>
      <c r="ED3" s="192" t="s">
        <v>660</v>
      </c>
      <c r="EE3" s="192" t="s">
        <v>660</v>
      </c>
      <c r="EF3" s="192" t="s">
        <v>660</v>
      </c>
      <c r="EG3" s="192" t="s">
        <v>660</v>
      </c>
      <c r="EH3" s="192" t="s">
        <v>660</v>
      </c>
      <c r="EI3" s="192" t="s">
        <v>660</v>
      </c>
      <c r="EJ3" s="192" t="s">
        <v>660</v>
      </c>
      <c r="EK3" s="192" t="s">
        <v>660</v>
      </c>
      <c r="EL3" s="192" t="s">
        <v>660</v>
      </c>
      <c r="EM3" s="192" t="s">
        <v>660</v>
      </c>
      <c r="EN3" s="192" t="s">
        <v>660</v>
      </c>
      <c r="EO3" s="192" t="s">
        <v>660</v>
      </c>
      <c r="EP3" s="192" t="s">
        <v>660</v>
      </c>
      <c r="EQ3" s="192" t="s">
        <v>660</v>
      </c>
      <c r="ER3" s="192" t="s">
        <v>660</v>
      </c>
      <c r="ES3" s="192" t="s">
        <v>660</v>
      </c>
      <c r="ET3" s="192" t="s">
        <v>660</v>
      </c>
      <c r="EU3" s="192" t="s">
        <v>660</v>
      </c>
      <c r="EV3" s="192" t="s">
        <v>660</v>
      </c>
      <c r="EW3" s="192" t="s">
        <v>660</v>
      </c>
      <c r="EX3" s="192" t="s">
        <v>660</v>
      </c>
      <c r="EY3" s="192" t="s">
        <v>660</v>
      </c>
      <c r="EZ3" s="192" t="s">
        <v>660</v>
      </c>
      <c r="FA3" s="192" t="s">
        <v>660</v>
      </c>
      <c r="FB3" s="192" t="s">
        <v>660</v>
      </c>
      <c r="FC3" s="192" t="s">
        <v>660</v>
      </c>
      <c r="FD3" s="192" t="s">
        <v>660</v>
      </c>
      <c r="FE3" s="192" t="s">
        <v>660</v>
      </c>
      <c r="FF3" s="192" t="s">
        <v>660</v>
      </c>
      <c r="FG3" s="192" t="s">
        <v>660</v>
      </c>
      <c r="FH3" s="192" t="s">
        <v>660</v>
      </c>
      <c r="FI3" s="192" t="s">
        <v>674</v>
      </c>
      <c r="FJ3" s="192" t="s">
        <v>660</v>
      </c>
    </row>
    <row r="4" spans="1:166" ht="409.5">
      <c r="A4" s="196">
        <v>46120.544629629629</v>
      </c>
      <c r="B4" s="196">
        <v>46120.566064814811</v>
      </c>
      <c r="C4" s="192" t="s">
        <v>507</v>
      </c>
      <c r="D4" s="192" t="s">
        <v>675</v>
      </c>
      <c r="E4">
        <v>100</v>
      </c>
      <c r="F4">
        <v>1852</v>
      </c>
      <c r="G4" s="192" t="s">
        <v>658</v>
      </c>
      <c r="H4" s="196">
        <v>46120.566074317132</v>
      </c>
      <c r="I4" s="192" t="s">
        <v>676</v>
      </c>
      <c r="J4" s="192" t="s">
        <v>660</v>
      </c>
      <c r="K4" s="192" t="s">
        <v>660</v>
      </c>
      <c r="L4" s="192" t="s">
        <v>660</v>
      </c>
      <c r="M4" s="192" t="s">
        <v>660</v>
      </c>
      <c r="N4">
        <v>40.415300000000002</v>
      </c>
      <c r="O4">
        <v>-3.694</v>
      </c>
      <c r="P4" s="192" t="s">
        <v>661</v>
      </c>
      <c r="Q4" s="192" t="s">
        <v>662</v>
      </c>
      <c r="R4" s="192" t="s">
        <v>9</v>
      </c>
      <c r="S4" s="192" t="s">
        <v>677</v>
      </c>
      <c r="T4" s="192" t="s">
        <v>232</v>
      </c>
      <c r="U4" s="192" t="s">
        <v>221</v>
      </c>
      <c r="V4" s="192" t="s">
        <v>660</v>
      </c>
      <c r="W4" s="192" t="s">
        <v>240</v>
      </c>
      <c r="X4" s="192" t="s">
        <v>237</v>
      </c>
      <c r="Y4" s="192" t="s">
        <v>221</v>
      </c>
      <c r="Z4" s="192" t="s">
        <v>224</v>
      </c>
      <c r="AA4" s="192" t="s">
        <v>228</v>
      </c>
      <c r="AB4" s="192" t="s">
        <v>221</v>
      </c>
      <c r="AC4" s="192" t="s">
        <v>153</v>
      </c>
      <c r="AD4" s="192" t="s">
        <v>678</v>
      </c>
      <c r="AE4" s="192" t="s">
        <v>679</v>
      </c>
      <c r="AF4" s="192" t="s">
        <v>680</v>
      </c>
      <c r="AG4" s="192" t="s">
        <v>681</v>
      </c>
      <c r="AH4" s="192" t="s">
        <v>234</v>
      </c>
      <c r="AI4" s="192" t="s">
        <v>682</v>
      </c>
      <c r="AJ4" s="192" t="s">
        <v>683</v>
      </c>
      <c r="AK4" s="192" t="s">
        <v>668</v>
      </c>
      <c r="AL4" s="192" t="s">
        <v>684</v>
      </c>
      <c r="AM4" s="192" t="s">
        <v>685</v>
      </c>
      <c r="AN4" s="192" t="s">
        <v>668</v>
      </c>
      <c r="AO4" s="192" t="s">
        <v>668</v>
      </c>
      <c r="AP4" s="192" t="s">
        <v>673</v>
      </c>
      <c r="AQ4" s="192" t="s">
        <v>668</v>
      </c>
      <c r="AR4" s="192" t="s">
        <v>49</v>
      </c>
      <c r="AS4" s="192" t="s">
        <v>660</v>
      </c>
      <c r="AT4" s="192" t="s">
        <v>686</v>
      </c>
      <c r="AU4" s="192" t="s">
        <v>231</v>
      </c>
      <c r="AV4" s="192" t="s">
        <v>660</v>
      </c>
      <c r="AW4" s="192" t="s">
        <v>222</v>
      </c>
      <c r="AX4" s="192" t="s">
        <v>687</v>
      </c>
      <c r="AY4" s="192" t="s">
        <v>688</v>
      </c>
      <c r="AZ4" s="192" t="s">
        <v>668</v>
      </c>
      <c r="BA4" s="192" t="s">
        <v>684</v>
      </c>
      <c r="BB4" s="192" t="s">
        <v>685</v>
      </c>
      <c r="BC4" s="192" t="s">
        <v>673</v>
      </c>
      <c r="BD4" s="192" t="s">
        <v>673</v>
      </c>
      <c r="BE4" s="192" t="s">
        <v>673</v>
      </c>
      <c r="BF4" s="192" t="s">
        <v>673</v>
      </c>
      <c r="BG4" s="192" t="s">
        <v>660</v>
      </c>
      <c r="BH4" s="192" t="s">
        <v>660</v>
      </c>
      <c r="BI4" s="192" t="s">
        <v>660</v>
      </c>
      <c r="BJ4" s="192" t="s">
        <v>660</v>
      </c>
      <c r="BK4" s="192" t="s">
        <v>660</v>
      </c>
      <c r="BL4" s="192" t="s">
        <v>660</v>
      </c>
      <c r="BM4" s="192" t="s">
        <v>660</v>
      </c>
      <c r="BN4" s="192" t="s">
        <v>660</v>
      </c>
      <c r="BO4" s="192" t="s">
        <v>660</v>
      </c>
      <c r="BP4" s="192" t="s">
        <v>660</v>
      </c>
      <c r="BQ4" s="192" t="s">
        <v>660</v>
      </c>
      <c r="BR4" s="192" t="s">
        <v>660</v>
      </c>
      <c r="BS4" s="192" t="s">
        <v>660</v>
      </c>
      <c r="BT4" s="192" t="s">
        <v>660</v>
      </c>
      <c r="BU4" s="192" t="s">
        <v>660</v>
      </c>
      <c r="BV4" s="192" t="s">
        <v>153</v>
      </c>
      <c r="BW4" s="192" t="s">
        <v>689</v>
      </c>
      <c r="BX4" s="192" t="s">
        <v>690</v>
      </c>
      <c r="BY4" s="192" t="s">
        <v>680</v>
      </c>
      <c r="BZ4" s="192" t="s">
        <v>691</v>
      </c>
      <c r="CA4" s="192" t="s">
        <v>242</v>
      </c>
      <c r="CB4" s="192" t="s">
        <v>692</v>
      </c>
      <c r="CC4" s="192" t="s">
        <v>683</v>
      </c>
      <c r="CD4" s="192" t="s">
        <v>668</v>
      </c>
      <c r="CE4" s="192" t="s">
        <v>684</v>
      </c>
      <c r="CF4" s="192" t="s">
        <v>685</v>
      </c>
      <c r="CG4" s="192" t="s">
        <v>668</v>
      </c>
      <c r="CH4" s="192" t="s">
        <v>668</v>
      </c>
      <c r="CI4" s="192" t="s">
        <v>673</v>
      </c>
      <c r="CJ4" s="192" t="s">
        <v>668</v>
      </c>
      <c r="CK4" s="192" t="s">
        <v>186</v>
      </c>
      <c r="CL4" s="192" t="s">
        <v>693</v>
      </c>
      <c r="CM4" s="192" t="s">
        <v>694</v>
      </c>
      <c r="CN4" s="192" t="s">
        <v>236</v>
      </c>
      <c r="CO4" s="192" t="s">
        <v>660</v>
      </c>
      <c r="CP4" s="192" t="s">
        <v>239</v>
      </c>
      <c r="CQ4" s="192" t="s">
        <v>695</v>
      </c>
      <c r="CR4" s="192" t="s">
        <v>696</v>
      </c>
      <c r="CS4" s="192" t="s">
        <v>668</v>
      </c>
      <c r="CT4" s="192" t="s">
        <v>684</v>
      </c>
      <c r="CU4" s="192" t="s">
        <v>685</v>
      </c>
      <c r="CV4" s="192" t="s">
        <v>673</v>
      </c>
      <c r="CW4" s="192" t="s">
        <v>673</v>
      </c>
      <c r="CX4" s="192" t="s">
        <v>673</v>
      </c>
      <c r="CY4" s="192" t="s">
        <v>673</v>
      </c>
      <c r="CZ4" s="192" t="s">
        <v>49</v>
      </c>
      <c r="DA4" s="192" t="s">
        <v>660</v>
      </c>
      <c r="DB4" s="192" t="s">
        <v>686</v>
      </c>
      <c r="DC4" s="192" t="s">
        <v>236</v>
      </c>
      <c r="DD4" s="192" t="s">
        <v>660</v>
      </c>
      <c r="DE4" s="192" t="s">
        <v>222</v>
      </c>
      <c r="DF4" s="192" t="s">
        <v>687</v>
      </c>
      <c r="DG4" s="192" t="s">
        <v>688</v>
      </c>
      <c r="DH4" s="192" t="s">
        <v>668</v>
      </c>
      <c r="DI4" s="192" t="s">
        <v>684</v>
      </c>
      <c r="DJ4" s="192" t="s">
        <v>685</v>
      </c>
      <c r="DK4" s="192" t="s">
        <v>673</v>
      </c>
      <c r="DL4" s="192" t="s">
        <v>673</v>
      </c>
      <c r="DM4" s="192" t="s">
        <v>673</v>
      </c>
      <c r="DN4" s="192" t="s">
        <v>673</v>
      </c>
      <c r="DO4" s="192" t="s">
        <v>294</v>
      </c>
      <c r="DP4" s="192" t="s">
        <v>697</v>
      </c>
      <c r="DQ4" s="192" t="s">
        <v>686</v>
      </c>
      <c r="DR4" s="192" t="s">
        <v>680</v>
      </c>
      <c r="DS4" s="192" t="s">
        <v>698</v>
      </c>
      <c r="DT4" s="192" t="s">
        <v>226</v>
      </c>
      <c r="DU4" s="192" t="s">
        <v>699</v>
      </c>
      <c r="DV4" s="192" t="s">
        <v>700</v>
      </c>
      <c r="DW4" s="192" t="s">
        <v>668</v>
      </c>
      <c r="DX4" s="192" t="s">
        <v>684</v>
      </c>
      <c r="DY4" s="192" t="s">
        <v>685</v>
      </c>
      <c r="DZ4" s="192" t="s">
        <v>668</v>
      </c>
      <c r="EA4" s="192" t="s">
        <v>668</v>
      </c>
      <c r="EB4" s="192" t="s">
        <v>673</v>
      </c>
      <c r="EC4" s="192" t="s">
        <v>668</v>
      </c>
      <c r="ED4" s="192" t="s">
        <v>51</v>
      </c>
      <c r="EE4" s="192" t="s">
        <v>660</v>
      </c>
      <c r="EF4" s="192" t="s">
        <v>701</v>
      </c>
      <c r="EG4" s="192" t="s">
        <v>680</v>
      </c>
      <c r="EH4" s="192" t="s">
        <v>702</v>
      </c>
      <c r="EI4" s="192" t="s">
        <v>229</v>
      </c>
      <c r="EJ4" s="192" t="s">
        <v>703</v>
      </c>
      <c r="EK4" s="192" t="s">
        <v>704</v>
      </c>
      <c r="EL4" s="192" t="s">
        <v>668</v>
      </c>
      <c r="EM4" s="192" t="s">
        <v>684</v>
      </c>
      <c r="EN4" s="192" t="s">
        <v>685</v>
      </c>
      <c r="EO4" s="192" t="s">
        <v>673</v>
      </c>
      <c r="EP4" s="192" t="s">
        <v>668</v>
      </c>
      <c r="EQ4" s="192" t="s">
        <v>673</v>
      </c>
      <c r="ER4" s="192" t="s">
        <v>673</v>
      </c>
      <c r="ES4" s="192" t="s">
        <v>49</v>
      </c>
      <c r="ET4" s="192" t="s">
        <v>660</v>
      </c>
      <c r="EU4" s="192" t="s">
        <v>686</v>
      </c>
      <c r="EV4" s="192" t="s">
        <v>183</v>
      </c>
      <c r="EW4" s="192" t="s">
        <v>660</v>
      </c>
      <c r="EX4" s="192" t="s">
        <v>222</v>
      </c>
      <c r="EY4" s="192" t="s">
        <v>687</v>
      </c>
      <c r="EZ4" s="192" t="s">
        <v>688</v>
      </c>
      <c r="FA4" s="192" t="s">
        <v>668</v>
      </c>
      <c r="FB4" s="192" t="s">
        <v>684</v>
      </c>
      <c r="FC4" s="192" t="s">
        <v>685</v>
      </c>
      <c r="FD4" s="192" t="s">
        <v>673</v>
      </c>
      <c r="FE4" s="192" t="s">
        <v>673</v>
      </c>
      <c r="FF4" s="192" t="s">
        <v>673</v>
      </c>
      <c r="FG4" s="192" t="s">
        <v>673</v>
      </c>
      <c r="FH4" s="192" t="s">
        <v>705</v>
      </c>
      <c r="FI4" s="192" t="s">
        <v>674</v>
      </c>
      <c r="FJ4" s="192" t="s">
        <v>660</v>
      </c>
    </row>
    <row r="5" spans="1:166" ht="285">
      <c r="A5" s="196">
        <v>46121.549131944441</v>
      </c>
      <c r="B5" s="196">
        <v>46121.567418981482</v>
      </c>
      <c r="C5" s="192" t="s">
        <v>507</v>
      </c>
      <c r="D5" s="192" t="s">
        <v>706</v>
      </c>
      <c r="E5">
        <v>100</v>
      </c>
      <c r="F5">
        <v>1580</v>
      </c>
      <c r="G5" s="192" t="s">
        <v>658</v>
      </c>
      <c r="H5" s="196">
        <v>46121.567436018522</v>
      </c>
      <c r="I5" s="192" t="s">
        <v>707</v>
      </c>
      <c r="J5" s="192" t="s">
        <v>660</v>
      </c>
      <c r="K5" s="192" t="s">
        <v>660</v>
      </c>
      <c r="L5" s="192" t="s">
        <v>660</v>
      </c>
      <c r="M5" s="192" t="s">
        <v>660</v>
      </c>
      <c r="N5">
        <v>46.991199999999999</v>
      </c>
      <c r="O5">
        <v>8.5212000000000003</v>
      </c>
      <c r="P5" s="192" t="s">
        <v>661</v>
      </c>
      <c r="Q5" s="192" t="s">
        <v>662</v>
      </c>
      <c r="R5" s="192" t="s">
        <v>12</v>
      </c>
      <c r="S5" s="192" t="s">
        <v>708</v>
      </c>
      <c r="T5" s="192" t="s">
        <v>660</v>
      </c>
      <c r="U5" s="192" t="s">
        <v>660</v>
      </c>
      <c r="V5" s="192" t="s">
        <v>660</v>
      </c>
      <c r="W5" s="192" t="s">
        <v>286</v>
      </c>
      <c r="X5" s="192" t="s">
        <v>279</v>
      </c>
      <c r="Y5" s="192" t="s">
        <v>274</v>
      </c>
      <c r="Z5" s="192" t="s">
        <v>279</v>
      </c>
      <c r="AA5" s="192" t="s">
        <v>274</v>
      </c>
      <c r="AB5" s="192" t="s">
        <v>660</v>
      </c>
      <c r="AC5" s="192" t="s">
        <v>660</v>
      </c>
      <c r="AD5" s="192" t="s">
        <v>660</v>
      </c>
      <c r="AE5" s="192" t="s">
        <v>660</v>
      </c>
      <c r="AF5" s="192" t="s">
        <v>660</v>
      </c>
      <c r="AG5" s="192" t="s">
        <v>660</v>
      </c>
      <c r="AH5" s="192" t="s">
        <v>660</v>
      </c>
      <c r="AI5" s="192" t="s">
        <v>660</v>
      </c>
      <c r="AJ5" s="192" t="s">
        <v>660</v>
      </c>
      <c r="AK5" s="192" t="s">
        <v>660</v>
      </c>
      <c r="AL5" s="192" t="s">
        <v>660</v>
      </c>
      <c r="AM5" s="192" t="s">
        <v>660</v>
      </c>
      <c r="AN5" s="192" t="s">
        <v>660</v>
      </c>
      <c r="AO5" s="192" t="s">
        <v>660</v>
      </c>
      <c r="AP5" s="192" t="s">
        <v>660</v>
      </c>
      <c r="AQ5" s="192" t="s">
        <v>660</v>
      </c>
      <c r="AR5" s="192" t="s">
        <v>660</v>
      </c>
      <c r="AS5" s="192" t="s">
        <v>660</v>
      </c>
      <c r="AT5" s="192" t="s">
        <v>660</v>
      </c>
      <c r="AU5" s="192" t="s">
        <v>660</v>
      </c>
      <c r="AV5" s="192" t="s">
        <v>660</v>
      </c>
      <c r="AW5" s="192" t="s">
        <v>660</v>
      </c>
      <c r="AX5" s="192" t="s">
        <v>660</v>
      </c>
      <c r="AY5" s="192" t="s">
        <v>660</v>
      </c>
      <c r="AZ5" s="192" t="s">
        <v>660</v>
      </c>
      <c r="BA5" s="192" t="s">
        <v>660</v>
      </c>
      <c r="BB5" s="192" t="s">
        <v>660</v>
      </c>
      <c r="BC5" s="192" t="s">
        <v>660</v>
      </c>
      <c r="BD5" s="192" t="s">
        <v>660</v>
      </c>
      <c r="BE5" s="192" t="s">
        <v>660</v>
      </c>
      <c r="BF5" s="192" t="s">
        <v>660</v>
      </c>
      <c r="BG5" s="192" t="s">
        <v>660</v>
      </c>
      <c r="BH5" s="192" t="s">
        <v>660</v>
      </c>
      <c r="BI5" s="192" t="s">
        <v>660</v>
      </c>
      <c r="BJ5" s="192" t="s">
        <v>660</v>
      </c>
      <c r="BK5" s="192" t="s">
        <v>660</v>
      </c>
      <c r="BL5" s="192" t="s">
        <v>660</v>
      </c>
      <c r="BM5" s="192" t="s">
        <v>660</v>
      </c>
      <c r="BN5" s="192" t="s">
        <v>660</v>
      </c>
      <c r="BO5" s="192" t="s">
        <v>660</v>
      </c>
      <c r="BP5" s="192" t="s">
        <v>660</v>
      </c>
      <c r="BQ5" s="192" t="s">
        <v>660</v>
      </c>
      <c r="BR5" s="192" t="s">
        <v>660</v>
      </c>
      <c r="BS5" s="192" t="s">
        <v>660</v>
      </c>
      <c r="BT5" s="192" t="s">
        <v>660</v>
      </c>
      <c r="BU5" s="192" t="s">
        <v>660</v>
      </c>
      <c r="BV5" s="192" t="s">
        <v>153</v>
      </c>
      <c r="BW5" s="192" t="s">
        <v>693</v>
      </c>
      <c r="BX5" s="192" t="s">
        <v>701</v>
      </c>
      <c r="BY5" s="192" t="s">
        <v>289</v>
      </c>
      <c r="BZ5" s="192" t="s">
        <v>660</v>
      </c>
      <c r="CA5" s="192" t="s">
        <v>288</v>
      </c>
      <c r="CB5" s="192" t="s">
        <v>709</v>
      </c>
      <c r="CC5" s="192" t="s">
        <v>710</v>
      </c>
      <c r="CD5" s="192" t="s">
        <v>673</v>
      </c>
      <c r="CE5" s="192" t="s">
        <v>711</v>
      </c>
      <c r="CF5" s="192" t="s">
        <v>712</v>
      </c>
      <c r="CG5" s="192" t="s">
        <v>668</v>
      </c>
      <c r="CH5" s="192" t="s">
        <v>668</v>
      </c>
      <c r="CI5" s="192" t="s">
        <v>668</v>
      </c>
      <c r="CJ5" s="192" t="s">
        <v>673</v>
      </c>
      <c r="CK5" s="192" t="s">
        <v>49</v>
      </c>
      <c r="CL5" s="192" t="s">
        <v>660</v>
      </c>
      <c r="CM5" s="192" t="s">
        <v>679</v>
      </c>
      <c r="CN5" s="192" t="s">
        <v>284</v>
      </c>
      <c r="CO5" s="192" t="s">
        <v>660</v>
      </c>
      <c r="CP5" s="192" t="s">
        <v>280</v>
      </c>
      <c r="CQ5" s="192" t="s">
        <v>713</v>
      </c>
      <c r="CR5" s="192" t="s">
        <v>714</v>
      </c>
      <c r="CS5" s="192" t="s">
        <v>673</v>
      </c>
      <c r="CT5" s="192" t="s">
        <v>715</v>
      </c>
      <c r="CU5" s="192" t="s">
        <v>716</v>
      </c>
      <c r="CV5" s="192" t="s">
        <v>673</v>
      </c>
      <c r="CW5" s="192" t="s">
        <v>673</v>
      </c>
      <c r="CX5" s="192" t="s">
        <v>673</v>
      </c>
      <c r="CY5" s="192" t="s">
        <v>668</v>
      </c>
      <c r="CZ5" s="192" t="s">
        <v>717</v>
      </c>
      <c r="DA5" s="192" t="s">
        <v>718</v>
      </c>
      <c r="DB5" s="192" t="s">
        <v>679</v>
      </c>
      <c r="DC5" s="192" t="s">
        <v>277</v>
      </c>
      <c r="DD5" s="192" t="s">
        <v>660</v>
      </c>
      <c r="DE5" s="192" t="s">
        <v>276</v>
      </c>
      <c r="DF5" s="192" t="s">
        <v>719</v>
      </c>
      <c r="DG5" s="192" t="s">
        <v>720</v>
      </c>
      <c r="DH5" s="192" t="s">
        <v>673</v>
      </c>
      <c r="DI5" s="192" t="s">
        <v>721</v>
      </c>
      <c r="DJ5" s="192" t="s">
        <v>722</v>
      </c>
      <c r="DK5" s="192" t="s">
        <v>668</v>
      </c>
      <c r="DL5" s="192" t="s">
        <v>668</v>
      </c>
      <c r="DM5" s="192" t="s">
        <v>668</v>
      </c>
      <c r="DN5" s="192" t="s">
        <v>673</v>
      </c>
      <c r="DO5" s="192" t="s">
        <v>49</v>
      </c>
      <c r="DP5" s="192" t="s">
        <v>660</v>
      </c>
      <c r="DQ5" s="192" t="s">
        <v>679</v>
      </c>
      <c r="DR5" s="192" t="s">
        <v>281</v>
      </c>
      <c r="DS5" s="192" t="s">
        <v>660</v>
      </c>
      <c r="DT5" s="192" t="s">
        <v>280</v>
      </c>
      <c r="DU5" s="192" t="s">
        <v>713</v>
      </c>
      <c r="DV5" s="192" t="s">
        <v>714</v>
      </c>
      <c r="DW5" s="192" t="s">
        <v>673</v>
      </c>
      <c r="DX5" s="192" t="s">
        <v>715</v>
      </c>
      <c r="DY5" s="192" t="s">
        <v>723</v>
      </c>
      <c r="DZ5" s="192" t="s">
        <v>673</v>
      </c>
      <c r="EA5" s="192" t="s">
        <v>673</v>
      </c>
      <c r="EB5" s="192" t="s">
        <v>673</v>
      </c>
      <c r="EC5" s="192" t="s">
        <v>668</v>
      </c>
      <c r="ED5" s="192" t="s">
        <v>717</v>
      </c>
      <c r="EE5" s="192" t="s">
        <v>718</v>
      </c>
      <c r="EF5" s="192" t="s">
        <v>679</v>
      </c>
      <c r="EG5" s="192" t="s">
        <v>277</v>
      </c>
      <c r="EH5" s="192" t="s">
        <v>660</v>
      </c>
      <c r="EI5" s="192" t="s">
        <v>276</v>
      </c>
      <c r="EJ5" s="192" t="s">
        <v>719</v>
      </c>
      <c r="EK5" s="192" t="s">
        <v>720</v>
      </c>
      <c r="EL5" s="192" t="s">
        <v>673</v>
      </c>
      <c r="EM5" s="192" t="s">
        <v>724</v>
      </c>
      <c r="EN5" s="192" t="s">
        <v>725</v>
      </c>
      <c r="EO5" s="192" t="s">
        <v>668</v>
      </c>
      <c r="EP5" s="192" t="s">
        <v>668</v>
      </c>
      <c r="EQ5" s="192" t="s">
        <v>668</v>
      </c>
      <c r="ER5" s="192" t="s">
        <v>673</v>
      </c>
      <c r="ES5" s="192" t="s">
        <v>660</v>
      </c>
      <c r="ET5" s="192" t="s">
        <v>660</v>
      </c>
      <c r="EU5" s="192" t="s">
        <v>660</v>
      </c>
      <c r="EV5" s="192" t="s">
        <v>660</v>
      </c>
      <c r="EW5" s="192" t="s">
        <v>660</v>
      </c>
      <c r="EX5" s="192" t="s">
        <v>660</v>
      </c>
      <c r="EY5" s="192" t="s">
        <v>660</v>
      </c>
      <c r="EZ5" s="192" t="s">
        <v>660</v>
      </c>
      <c r="FA5" s="192" t="s">
        <v>660</v>
      </c>
      <c r="FB5" s="192" t="s">
        <v>660</v>
      </c>
      <c r="FC5" s="192" t="s">
        <v>660</v>
      </c>
      <c r="FD5" s="192" t="s">
        <v>660</v>
      </c>
      <c r="FE5" s="192" t="s">
        <v>660</v>
      </c>
      <c r="FF5" s="192" t="s">
        <v>660</v>
      </c>
      <c r="FG5" s="192" t="s">
        <v>660</v>
      </c>
      <c r="FH5" s="192" t="s">
        <v>660</v>
      </c>
      <c r="FI5" s="192" t="s">
        <v>674</v>
      </c>
      <c r="FJ5" s="192" t="s">
        <v>660</v>
      </c>
    </row>
    <row r="6" spans="1:166" ht="180">
      <c r="A6" s="196">
        <v>46119.710740740738</v>
      </c>
      <c r="B6" s="196">
        <v>46125.475358796299</v>
      </c>
      <c r="C6" s="192" t="s">
        <v>507</v>
      </c>
      <c r="D6" s="192" t="s">
        <v>726</v>
      </c>
      <c r="E6">
        <v>100</v>
      </c>
      <c r="F6">
        <v>498063</v>
      </c>
      <c r="G6" s="192" t="s">
        <v>658</v>
      </c>
      <c r="H6" s="196">
        <v>46125.475374664355</v>
      </c>
      <c r="I6" s="192" t="s">
        <v>727</v>
      </c>
      <c r="J6" s="192" t="s">
        <v>660</v>
      </c>
      <c r="K6" s="192" t="s">
        <v>660</v>
      </c>
      <c r="L6" s="192" t="s">
        <v>660</v>
      </c>
      <c r="M6" s="192" t="s">
        <v>660</v>
      </c>
      <c r="N6">
        <v>45.412999999999997</v>
      </c>
      <c r="O6">
        <v>11.880599999999999</v>
      </c>
      <c r="P6" s="192" t="s">
        <v>661</v>
      </c>
      <c r="Q6" s="192" t="s">
        <v>662</v>
      </c>
      <c r="R6" s="192" t="s">
        <v>6</v>
      </c>
      <c r="S6" s="192" t="s">
        <v>728</v>
      </c>
      <c r="T6" s="192" t="s">
        <v>660</v>
      </c>
      <c r="U6" s="192" t="s">
        <v>660</v>
      </c>
      <c r="V6" s="192" t="s">
        <v>660</v>
      </c>
      <c r="W6" s="192" t="s">
        <v>28</v>
      </c>
      <c r="X6" s="192" t="s">
        <v>189</v>
      </c>
      <c r="Y6" s="192" t="s">
        <v>660</v>
      </c>
      <c r="Z6" s="192" t="s">
        <v>189</v>
      </c>
      <c r="AA6" s="192" t="s">
        <v>660</v>
      </c>
      <c r="AB6" s="192" t="s">
        <v>660</v>
      </c>
      <c r="AC6" s="192" t="s">
        <v>660</v>
      </c>
      <c r="AD6" s="192" t="s">
        <v>660</v>
      </c>
      <c r="AE6" s="192" t="s">
        <v>660</v>
      </c>
      <c r="AF6" s="192" t="s">
        <v>660</v>
      </c>
      <c r="AG6" s="192" t="s">
        <v>660</v>
      </c>
      <c r="AH6" s="192" t="s">
        <v>660</v>
      </c>
      <c r="AI6" s="192" t="s">
        <v>660</v>
      </c>
      <c r="AJ6" s="192" t="s">
        <v>660</v>
      </c>
      <c r="AK6" s="192" t="s">
        <v>660</v>
      </c>
      <c r="AL6" s="192" t="s">
        <v>660</v>
      </c>
      <c r="AM6" s="192" t="s">
        <v>660</v>
      </c>
      <c r="AN6" s="192" t="s">
        <v>660</v>
      </c>
      <c r="AO6" s="192" t="s">
        <v>660</v>
      </c>
      <c r="AP6" s="192" t="s">
        <v>660</v>
      </c>
      <c r="AQ6" s="192" t="s">
        <v>660</v>
      </c>
      <c r="AR6" s="192" t="s">
        <v>660</v>
      </c>
      <c r="AS6" s="192" t="s">
        <v>660</v>
      </c>
      <c r="AT6" s="192" t="s">
        <v>660</v>
      </c>
      <c r="AU6" s="192" t="s">
        <v>660</v>
      </c>
      <c r="AV6" s="192" t="s">
        <v>660</v>
      </c>
      <c r="AW6" s="192" t="s">
        <v>660</v>
      </c>
      <c r="AX6" s="192" t="s">
        <v>660</v>
      </c>
      <c r="AY6" s="192" t="s">
        <v>660</v>
      </c>
      <c r="AZ6" s="192" t="s">
        <v>660</v>
      </c>
      <c r="BA6" s="192" t="s">
        <v>660</v>
      </c>
      <c r="BB6" s="192" t="s">
        <v>660</v>
      </c>
      <c r="BC6" s="192" t="s">
        <v>660</v>
      </c>
      <c r="BD6" s="192" t="s">
        <v>660</v>
      </c>
      <c r="BE6" s="192" t="s">
        <v>660</v>
      </c>
      <c r="BF6" s="192" t="s">
        <v>660</v>
      </c>
      <c r="BG6" s="192" t="s">
        <v>660</v>
      </c>
      <c r="BH6" s="192" t="s">
        <v>660</v>
      </c>
      <c r="BI6" s="192" t="s">
        <v>660</v>
      </c>
      <c r="BJ6" s="192" t="s">
        <v>660</v>
      </c>
      <c r="BK6" s="192" t="s">
        <v>660</v>
      </c>
      <c r="BL6" s="192" t="s">
        <v>660</v>
      </c>
      <c r="BM6" s="192" t="s">
        <v>660</v>
      </c>
      <c r="BN6" s="192" t="s">
        <v>660</v>
      </c>
      <c r="BO6" s="192" t="s">
        <v>660</v>
      </c>
      <c r="BP6" s="192" t="s">
        <v>660</v>
      </c>
      <c r="BQ6" s="192" t="s">
        <v>660</v>
      </c>
      <c r="BR6" s="192" t="s">
        <v>660</v>
      </c>
      <c r="BS6" s="192" t="s">
        <v>660</v>
      </c>
      <c r="BT6" s="192" t="s">
        <v>660</v>
      </c>
      <c r="BU6" s="192" t="s">
        <v>660</v>
      </c>
      <c r="BV6" s="192" t="s">
        <v>141</v>
      </c>
      <c r="BW6" s="192" t="s">
        <v>660</v>
      </c>
      <c r="BX6" s="192" t="s">
        <v>694</v>
      </c>
      <c r="BY6" s="192" t="s">
        <v>193</v>
      </c>
      <c r="BZ6" s="192" t="s">
        <v>660</v>
      </c>
      <c r="CA6" s="192" t="s">
        <v>729</v>
      </c>
      <c r="CB6" s="192" t="s">
        <v>730</v>
      </c>
      <c r="CC6" s="192" t="s">
        <v>688</v>
      </c>
      <c r="CD6" s="192" t="s">
        <v>668</v>
      </c>
      <c r="CE6" s="192" t="s">
        <v>731</v>
      </c>
      <c r="CF6" s="192" t="s">
        <v>732</v>
      </c>
      <c r="CG6" s="192" t="s">
        <v>668</v>
      </c>
      <c r="CH6" s="192" t="s">
        <v>668</v>
      </c>
      <c r="CI6" s="192" t="s">
        <v>668</v>
      </c>
      <c r="CJ6" s="192" t="s">
        <v>668</v>
      </c>
      <c r="CK6" s="192" t="s">
        <v>138</v>
      </c>
      <c r="CL6" s="192" t="s">
        <v>660</v>
      </c>
      <c r="CM6" s="192" t="s">
        <v>733</v>
      </c>
      <c r="CN6" s="192" t="s">
        <v>135</v>
      </c>
      <c r="CO6" s="192" t="s">
        <v>660</v>
      </c>
      <c r="CP6" s="192" t="s">
        <v>729</v>
      </c>
      <c r="CQ6" s="192" t="s">
        <v>730</v>
      </c>
      <c r="CR6" s="192" t="s">
        <v>688</v>
      </c>
      <c r="CS6" s="192" t="s">
        <v>668</v>
      </c>
      <c r="CT6" s="192" t="s">
        <v>731</v>
      </c>
      <c r="CU6" s="192" t="s">
        <v>734</v>
      </c>
      <c r="CV6" s="192" t="s">
        <v>668</v>
      </c>
      <c r="CW6" s="192" t="s">
        <v>668</v>
      </c>
      <c r="CX6" s="192" t="s">
        <v>668</v>
      </c>
      <c r="CY6" s="192" t="s">
        <v>668</v>
      </c>
      <c r="CZ6" s="192" t="s">
        <v>660</v>
      </c>
      <c r="DA6" s="192" t="s">
        <v>660</v>
      </c>
      <c r="DB6" s="192" t="s">
        <v>660</v>
      </c>
      <c r="DC6" s="192" t="s">
        <v>660</v>
      </c>
      <c r="DD6" s="192" t="s">
        <v>660</v>
      </c>
      <c r="DE6" s="192" t="s">
        <v>660</v>
      </c>
      <c r="DF6" s="192" t="s">
        <v>660</v>
      </c>
      <c r="DG6" s="192" t="s">
        <v>660</v>
      </c>
      <c r="DH6" s="192" t="s">
        <v>660</v>
      </c>
      <c r="DI6" s="192" t="s">
        <v>660</v>
      </c>
      <c r="DJ6" s="192" t="s">
        <v>660</v>
      </c>
      <c r="DK6" s="192" t="s">
        <v>660</v>
      </c>
      <c r="DL6" s="192" t="s">
        <v>660</v>
      </c>
      <c r="DM6" s="192" t="s">
        <v>660</v>
      </c>
      <c r="DN6" s="192" t="s">
        <v>660</v>
      </c>
      <c r="DO6" s="192" t="s">
        <v>141</v>
      </c>
      <c r="DP6" s="192" t="s">
        <v>660</v>
      </c>
      <c r="DQ6" s="192" t="s">
        <v>694</v>
      </c>
      <c r="DR6" s="192" t="s">
        <v>190</v>
      </c>
      <c r="DS6" s="192" t="s">
        <v>660</v>
      </c>
      <c r="DT6" s="192" t="s">
        <v>735</v>
      </c>
      <c r="DU6" s="192" t="s">
        <v>730</v>
      </c>
      <c r="DV6" s="192" t="s">
        <v>688</v>
      </c>
      <c r="DW6" s="192" t="s">
        <v>668</v>
      </c>
      <c r="DX6" s="192" t="s">
        <v>736</v>
      </c>
      <c r="DY6" s="192" t="s">
        <v>737</v>
      </c>
      <c r="DZ6" s="192" t="s">
        <v>668</v>
      </c>
      <c r="EA6" s="192" t="s">
        <v>668</v>
      </c>
      <c r="EB6" s="192" t="s">
        <v>668</v>
      </c>
      <c r="EC6" s="192" t="s">
        <v>668</v>
      </c>
      <c r="ED6" s="192" t="s">
        <v>660</v>
      </c>
      <c r="EE6" s="192" t="s">
        <v>660</v>
      </c>
      <c r="EF6" s="192" t="s">
        <v>660</v>
      </c>
      <c r="EG6" s="192" t="s">
        <v>660</v>
      </c>
      <c r="EH6" s="192" t="s">
        <v>660</v>
      </c>
      <c r="EI6" s="192" t="s">
        <v>660</v>
      </c>
      <c r="EJ6" s="192" t="s">
        <v>660</v>
      </c>
      <c r="EK6" s="192" t="s">
        <v>660</v>
      </c>
      <c r="EL6" s="192" t="s">
        <v>660</v>
      </c>
      <c r="EM6" s="192" t="s">
        <v>660</v>
      </c>
      <c r="EN6" s="192" t="s">
        <v>660</v>
      </c>
      <c r="EO6" s="192" t="s">
        <v>660</v>
      </c>
      <c r="EP6" s="192" t="s">
        <v>660</v>
      </c>
      <c r="EQ6" s="192" t="s">
        <v>660</v>
      </c>
      <c r="ER6" s="192" t="s">
        <v>660</v>
      </c>
      <c r="ES6" s="192" t="s">
        <v>660</v>
      </c>
      <c r="ET6" s="192" t="s">
        <v>660</v>
      </c>
      <c r="EU6" s="192" t="s">
        <v>660</v>
      </c>
      <c r="EV6" s="192" t="s">
        <v>660</v>
      </c>
      <c r="EW6" s="192" t="s">
        <v>660</v>
      </c>
      <c r="EX6" s="192" t="s">
        <v>660</v>
      </c>
      <c r="EY6" s="192" t="s">
        <v>660</v>
      </c>
      <c r="EZ6" s="192" t="s">
        <v>660</v>
      </c>
      <c r="FA6" s="192" t="s">
        <v>660</v>
      </c>
      <c r="FB6" s="192" t="s">
        <v>660</v>
      </c>
      <c r="FC6" s="192" t="s">
        <v>660</v>
      </c>
      <c r="FD6" s="192" t="s">
        <v>660</v>
      </c>
      <c r="FE6" s="192" t="s">
        <v>660</v>
      </c>
      <c r="FF6" s="192" t="s">
        <v>660</v>
      </c>
      <c r="FG6" s="192" t="s">
        <v>660</v>
      </c>
      <c r="FH6" s="192" t="s">
        <v>738</v>
      </c>
      <c r="FI6" s="192" t="s">
        <v>674</v>
      </c>
      <c r="FJ6" s="192" t="s">
        <v>660</v>
      </c>
    </row>
    <row r="7" spans="1:166" ht="409.5">
      <c r="A7" s="196">
        <v>46119.707650462966</v>
      </c>
      <c r="B7" s="196">
        <v>46125.511828703704</v>
      </c>
      <c r="C7" s="192" t="s">
        <v>507</v>
      </c>
      <c r="D7" s="192" t="s">
        <v>739</v>
      </c>
      <c r="E7">
        <v>100</v>
      </c>
      <c r="F7">
        <v>501480</v>
      </c>
      <c r="G7" s="192" t="s">
        <v>658</v>
      </c>
      <c r="H7" s="196">
        <v>46125.511842662039</v>
      </c>
      <c r="I7" s="192" t="s">
        <v>740</v>
      </c>
      <c r="J7" s="192" t="s">
        <v>660</v>
      </c>
      <c r="K7" s="192" t="s">
        <v>660</v>
      </c>
      <c r="L7" s="192" t="s">
        <v>660</v>
      </c>
      <c r="M7" s="192" t="s">
        <v>660</v>
      </c>
      <c r="N7">
        <v>51.222200000000001</v>
      </c>
      <c r="O7">
        <v>6.7788000000000004</v>
      </c>
      <c r="P7" s="192" t="s">
        <v>661</v>
      </c>
      <c r="Q7" s="192" t="s">
        <v>662</v>
      </c>
      <c r="R7" s="192" t="s">
        <v>3</v>
      </c>
      <c r="S7" s="192" t="s">
        <v>741</v>
      </c>
      <c r="T7" s="192" t="s">
        <v>137</v>
      </c>
      <c r="U7" s="192" t="s">
        <v>134</v>
      </c>
      <c r="V7" s="192" t="s">
        <v>146</v>
      </c>
      <c r="W7" s="192" t="s">
        <v>137</v>
      </c>
      <c r="X7" s="192" t="s">
        <v>134</v>
      </c>
      <c r="Y7" s="192" t="s">
        <v>146</v>
      </c>
      <c r="Z7" s="192" t="s">
        <v>140</v>
      </c>
      <c r="AA7" s="192" t="s">
        <v>137</v>
      </c>
      <c r="AB7" s="192" t="s">
        <v>134</v>
      </c>
      <c r="AC7" s="192" t="s">
        <v>138</v>
      </c>
      <c r="AD7" s="192" t="s">
        <v>660</v>
      </c>
      <c r="AE7" s="192" t="s">
        <v>686</v>
      </c>
      <c r="AF7" s="192" t="s">
        <v>135</v>
      </c>
      <c r="AG7" s="192" t="s">
        <v>660</v>
      </c>
      <c r="AH7" s="192" t="s">
        <v>144</v>
      </c>
      <c r="AI7" s="192" t="s">
        <v>742</v>
      </c>
      <c r="AJ7" s="192" t="s">
        <v>743</v>
      </c>
      <c r="AK7" s="192" t="s">
        <v>668</v>
      </c>
      <c r="AL7" s="192" t="s">
        <v>744</v>
      </c>
      <c r="AM7" s="192" t="s">
        <v>745</v>
      </c>
      <c r="AN7" s="192" t="s">
        <v>668</v>
      </c>
      <c r="AO7" s="192" t="s">
        <v>668</v>
      </c>
      <c r="AP7" s="192" t="s">
        <v>668</v>
      </c>
      <c r="AQ7" s="192" t="s">
        <v>668</v>
      </c>
      <c r="AR7" s="192" t="s">
        <v>49</v>
      </c>
      <c r="AS7" s="192" t="s">
        <v>660</v>
      </c>
      <c r="AT7" s="192" t="s">
        <v>686</v>
      </c>
      <c r="AU7" s="192" t="s">
        <v>135</v>
      </c>
      <c r="AV7" s="192" t="s">
        <v>660</v>
      </c>
      <c r="AW7" s="192" t="s">
        <v>746</v>
      </c>
      <c r="AX7" s="192" t="s">
        <v>747</v>
      </c>
      <c r="AY7" s="192" t="s">
        <v>714</v>
      </c>
      <c r="AZ7" s="192" t="s">
        <v>668</v>
      </c>
      <c r="BA7" s="192" t="s">
        <v>748</v>
      </c>
      <c r="BB7" s="192" t="s">
        <v>745</v>
      </c>
      <c r="BC7" s="192" t="s">
        <v>673</v>
      </c>
      <c r="BD7" s="192" t="s">
        <v>673</v>
      </c>
      <c r="BE7" s="192" t="s">
        <v>673</v>
      </c>
      <c r="BF7" s="192" t="s">
        <v>668</v>
      </c>
      <c r="BG7" s="192" t="s">
        <v>138</v>
      </c>
      <c r="BH7" s="192" t="s">
        <v>660</v>
      </c>
      <c r="BI7" s="192" t="s">
        <v>749</v>
      </c>
      <c r="BJ7" s="192" t="s">
        <v>147</v>
      </c>
      <c r="BK7" s="192" t="s">
        <v>660</v>
      </c>
      <c r="BL7" s="192" t="s">
        <v>750</v>
      </c>
      <c r="BM7" s="192" t="s">
        <v>751</v>
      </c>
      <c r="BN7" s="192" t="s">
        <v>752</v>
      </c>
      <c r="BO7" s="192" t="s">
        <v>668</v>
      </c>
      <c r="BP7" s="192" t="s">
        <v>753</v>
      </c>
      <c r="BQ7" s="192" t="s">
        <v>753</v>
      </c>
      <c r="BR7" s="192" t="s">
        <v>668</v>
      </c>
      <c r="BS7" s="192" t="s">
        <v>668</v>
      </c>
      <c r="BT7" s="192" t="s">
        <v>668</v>
      </c>
      <c r="BU7" s="192" t="s">
        <v>673</v>
      </c>
      <c r="BV7" s="192" t="s">
        <v>138</v>
      </c>
      <c r="BW7" s="192" t="s">
        <v>660</v>
      </c>
      <c r="BX7" s="192" t="s">
        <v>686</v>
      </c>
      <c r="BY7" s="192" t="s">
        <v>135</v>
      </c>
      <c r="BZ7" s="192" t="s">
        <v>660</v>
      </c>
      <c r="CA7" s="192" t="s">
        <v>754</v>
      </c>
      <c r="CB7" s="192" t="s">
        <v>742</v>
      </c>
      <c r="CC7" s="192" t="s">
        <v>755</v>
      </c>
      <c r="CD7" s="192" t="s">
        <v>673</v>
      </c>
      <c r="CE7" s="192" t="s">
        <v>756</v>
      </c>
      <c r="CF7" s="192" t="s">
        <v>745</v>
      </c>
      <c r="CG7" s="192" t="s">
        <v>668</v>
      </c>
      <c r="CH7" s="192" t="s">
        <v>668</v>
      </c>
      <c r="CI7" s="192" t="s">
        <v>668</v>
      </c>
      <c r="CJ7" s="192" t="s">
        <v>668</v>
      </c>
      <c r="CK7" s="192" t="s">
        <v>49</v>
      </c>
      <c r="CL7" s="192" t="s">
        <v>660</v>
      </c>
      <c r="CM7" s="192" t="s">
        <v>686</v>
      </c>
      <c r="CN7" s="192" t="s">
        <v>135</v>
      </c>
      <c r="CO7" s="192" t="s">
        <v>660</v>
      </c>
      <c r="CP7" s="192" t="s">
        <v>757</v>
      </c>
      <c r="CQ7" s="192" t="s">
        <v>747</v>
      </c>
      <c r="CR7" s="192" t="s">
        <v>714</v>
      </c>
      <c r="CS7" s="192" t="s">
        <v>668</v>
      </c>
      <c r="CT7" s="192" t="s">
        <v>748</v>
      </c>
      <c r="CU7" s="192" t="s">
        <v>745</v>
      </c>
      <c r="CV7" s="192" t="s">
        <v>673</v>
      </c>
      <c r="CW7" s="192" t="s">
        <v>673</v>
      </c>
      <c r="CX7" s="192" t="s">
        <v>673</v>
      </c>
      <c r="CY7" s="192" t="s">
        <v>668</v>
      </c>
      <c r="CZ7" s="192" t="s">
        <v>138</v>
      </c>
      <c r="DA7" s="192" t="s">
        <v>660</v>
      </c>
      <c r="DB7" s="192" t="s">
        <v>749</v>
      </c>
      <c r="DC7" s="192" t="s">
        <v>147</v>
      </c>
      <c r="DD7" s="192" t="s">
        <v>660</v>
      </c>
      <c r="DE7" s="192" t="s">
        <v>750</v>
      </c>
      <c r="DF7" s="192" t="s">
        <v>751</v>
      </c>
      <c r="DG7" s="192" t="s">
        <v>752</v>
      </c>
      <c r="DH7" s="192" t="s">
        <v>668</v>
      </c>
      <c r="DI7" s="192" t="s">
        <v>753</v>
      </c>
      <c r="DJ7" s="192" t="s">
        <v>753</v>
      </c>
      <c r="DK7" s="192" t="s">
        <v>668</v>
      </c>
      <c r="DL7" s="192" t="s">
        <v>668</v>
      </c>
      <c r="DM7" s="192" t="s">
        <v>668</v>
      </c>
      <c r="DN7" s="192" t="s">
        <v>673</v>
      </c>
      <c r="DO7" s="192" t="s">
        <v>141</v>
      </c>
      <c r="DP7" s="192" t="s">
        <v>660</v>
      </c>
      <c r="DQ7" s="192" t="s">
        <v>679</v>
      </c>
      <c r="DR7" s="192" t="s">
        <v>142</v>
      </c>
      <c r="DS7" s="192" t="s">
        <v>660</v>
      </c>
      <c r="DT7" s="192" t="s">
        <v>758</v>
      </c>
      <c r="DU7" s="192" t="s">
        <v>759</v>
      </c>
      <c r="DV7" s="192" t="s">
        <v>760</v>
      </c>
      <c r="DW7" s="192" t="s">
        <v>673</v>
      </c>
      <c r="DX7" s="192" t="s">
        <v>761</v>
      </c>
      <c r="DY7" s="192" t="s">
        <v>762</v>
      </c>
      <c r="DZ7" s="192" t="s">
        <v>668</v>
      </c>
      <c r="EA7" s="192" t="s">
        <v>673</v>
      </c>
      <c r="EB7" s="192" t="s">
        <v>668</v>
      </c>
      <c r="EC7" s="192" t="s">
        <v>668</v>
      </c>
      <c r="ED7" s="192" t="s">
        <v>138</v>
      </c>
      <c r="EE7" s="192" t="s">
        <v>660</v>
      </c>
      <c r="EF7" s="192" t="s">
        <v>686</v>
      </c>
      <c r="EG7" s="192" t="s">
        <v>135</v>
      </c>
      <c r="EH7" s="192" t="s">
        <v>660</v>
      </c>
      <c r="EI7" s="192" t="s">
        <v>754</v>
      </c>
      <c r="EJ7" s="192" t="s">
        <v>742</v>
      </c>
      <c r="EK7" s="192" t="s">
        <v>755</v>
      </c>
      <c r="EL7" s="192" t="s">
        <v>673</v>
      </c>
      <c r="EM7" s="192" t="s">
        <v>763</v>
      </c>
      <c r="EN7" s="192" t="s">
        <v>745</v>
      </c>
      <c r="EO7" s="192" t="s">
        <v>668</v>
      </c>
      <c r="EP7" s="192" t="s">
        <v>668</v>
      </c>
      <c r="EQ7" s="192" t="s">
        <v>668</v>
      </c>
      <c r="ER7" s="192" t="s">
        <v>668</v>
      </c>
      <c r="ES7" s="192" t="s">
        <v>49</v>
      </c>
      <c r="ET7" s="192" t="s">
        <v>660</v>
      </c>
      <c r="EU7" s="192" t="s">
        <v>686</v>
      </c>
      <c r="EV7" s="192" t="s">
        <v>135</v>
      </c>
      <c r="EW7" s="192" t="s">
        <v>660</v>
      </c>
      <c r="EX7" s="192" t="s">
        <v>746</v>
      </c>
      <c r="EY7" s="192" t="s">
        <v>747</v>
      </c>
      <c r="EZ7" s="192" t="s">
        <v>714</v>
      </c>
      <c r="FA7" s="192" t="s">
        <v>673</v>
      </c>
      <c r="FB7" s="192" t="s">
        <v>748</v>
      </c>
      <c r="FC7" s="192" t="s">
        <v>745</v>
      </c>
      <c r="FD7" s="192" t="s">
        <v>673</v>
      </c>
      <c r="FE7" s="192" t="s">
        <v>673</v>
      </c>
      <c r="FF7" s="192" t="s">
        <v>673</v>
      </c>
      <c r="FG7" s="192" t="s">
        <v>668</v>
      </c>
      <c r="FH7" s="192" t="s">
        <v>764</v>
      </c>
      <c r="FI7" s="192" t="s">
        <v>674</v>
      </c>
      <c r="FJ7" s="192" t="s">
        <v>660</v>
      </c>
    </row>
    <row r="8" spans="1:166" ht="255">
      <c r="A8" s="196">
        <v>46120.483460648145</v>
      </c>
      <c r="B8" s="196">
        <v>46125.6093287037</v>
      </c>
      <c r="C8" s="192" t="s">
        <v>507</v>
      </c>
      <c r="D8" s="192" t="s">
        <v>765</v>
      </c>
      <c r="E8">
        <v>100</v>
      </c>
      <c r="F8">
        <v>442875</v>
      </c>
      <c r="G8" s="192" t="s">
        <v>658</v>
      </c>
      <c r="H8" s="196">
        <v>46125.609345775461</v>
      </c>
      <c r="I8" s="192" t="s">
        <v>766</v>
      </c>
      <c r="J8" s="192" t="s">
        <v>660</v>
      </c>
      <c r="K8" s="192" t="s">
        <v>660</v>
      </c>
      <c r="L8" s="192" t="s">
        <v>660</v>
      </c>
      <c r="M8" s="192" t="s">
        <v>660</v>
      </c>
      <c r="N8">
        <v>52.229900000000001</v>
      </c>
      <c r="O8">
        <v>21.0093</v>
      </c>
      <c r="P8" s="192" t="s">
        <v>661</v>
      </c>
      <c r="Q8" s="192" t="s">
        <v>662</v>
      </c>
      <c r="R8" s="192" t="s">
        <v>15</v>
      </c>
      <c r="S8" s="192" t="s">
        <v>663</v>
      </c>
      <c r="T8" s="192" t="s">
        <v>767</v>
      </c>
      <c r="U8" s="192" t="s">
        <v>660</v>
      </c>
      <c r="V8" s="192" t="s">
        <v>660</v>
      </c>
      <c r="W8" s="192" t="s">
        <v>660</v>
      </c>
      <c r="X8" s="192" t="s">
        <v>660</v>
      </c>
      <c r="Y8" s="192" t="s">
        <v>660</v>
      </c>
      <c r="Z8" s="192" t="s">
        <v>306</v>
      </c>
      <c r="AA8" s="192" t="s">
        <v>660</v>
      </c>
      <c r="AB8" s="192" t="s">
        <v>660</v>
      </c>
      <c r="AC8" s="192" t="s">
        <v>206</v>
      </c>
      <c r="AD8" s="192" t="s">
        <v>660</v>
      </c>
      <c r="AE8" s="192" t="s">
        <v>679</v>
      </c>
      <c r="AF8" s="192" t="s">
        <v>311</v>
      </c>
      <c r="AG8" s="192" t="s">
        <v>660</v>
      </c>
      <c r="AH8" s="192" t="s">
        <v>310</v>
      </c>
      <c r="AI8" s="192" t="s">
        <v>768</v>
      </c>
      <c r="AJ8" s="192" t="s">
        <v>769</v>
      </c>
      <c r="AK8" s="192" t="s">
        <v>673</v>
      </c>
      <c r="AL8" s="192" t="s">
        <v>770</v>
      </c>
      <c r="AM8" s="192" t="s">
        <v>770</v>
      </c>
      <c r="AN8" s="192" t="s">
        <v>660</v>
      </c>
      <c r="AO8" s="192" t="s">
        <v>660</v>
      </c>
      <c r="AP8" s="192" t="s">
        <v>660</v>
      </c>
      <c r="AQ8" s="192" t="s">
        <v>668</v>
      </c>
      <c r="AR8" s="192" t="s">
        <v>660</v>
      </c>
      <c r="AS8" s="192" t="s">
        <v>660</v>
      </c>
      <c r="AT8" s="192" t="s">
        <v>660</v>
      </c>
      <c r="AU8" s="192" t="s">
        <v>660</v>
      </c>
      <c r="AV8" s="192" t="s">
        <v>660</v>
      </c>
      <c r="AW8" s="192" t="s">
        <v>660</v>
      </c>
      <c r="AX8" s="192" t="s">
        <v>660</v>
      </c>
      <c r="AY8" s="192" t="s">
        <v>660</v>
      </c>
      <c r="AZ8" s="192" t="s">
        <v>660</v>
      </c>
      <c r="BA8" s="192" t="s">
        <v>660</v>
      </c>
      <c r="BB8" s="192" t="s">
        <v>660</v>
      </c>
      <c r="BC8" s="192" t="s">
        <v>660</v>
      </c>
      <c r="BD8" s="192" t="s">
        <v>660</v>
      </c>
      <c r="BE8" s="192" t="s">
        <v>660</v>
      </c>
      <c r="BF8" s="192" t="s">
        <v>660</v>
      </c>
      <c r="BG8" s="192" t="s">
        <v>660</v>
      </c>
      <c r="BH8" s="192" t="s">
        <v>660</v>
      </c>
      <c r="BI8" s="192" t="s">
        <v>660</v>
      </c>
      <c r="BJ8" s="192" t="s">
        <v>660</v>
      </c>
      <c r="BK8" s="192" t="s">
        <v>660</v>
      </c>
      <c r="BL8" s="192" t="s">
        <v>660</v>
      </c>
      <c r="BM8" s="192" t="s">
        <v>660</v>
      </c>
      <c r="BN8" s="192" t="s">
        <v>660</v>
      </c>
      <c r="BO8" s="192" t="s">
        <v>660</v>
      </c>
      <c r="BP8" s="192" t="s">
        <v>660</v>
      </c>
      <c r="BQ8" s="192" t="s">
        <v>660</v>
      </c>
      <c r="BR8" s="192" t="s">
        <v>660</v>
      </c>
      <c r="BS8" s="192" t="s">
        <v>660</v>
      </c>
      <c r="BT8" s="192" t="s">
        <v>660</v>
      </c>
      <c r="BU8" s="192" t="s">
        <v>660</v>
      </c>
      <c r="BV8" s="192" t="s">
        <v>660</v>
      </c>
      <c r="BW8" s="192" t="s">
        <v>660</v>
      </c>
      <c r="BX8" s="192" t="s">
        <v>660</v>
      </c>
      <c r="BY8" s="192" t="s">
        <v>660</v>
      </c>
      <c r="BZ8" s="192" t="s">
        <v>660</v>
      </c>
      <c r="CA8" s="192" t="s">
        <v>660</v>
      </c>
      <c r="CB8" s="192" t="s">
        <v>660</v>
      </c>
      <c r="CC8" s="192" t="s">
        <v>660</v>
      </c>
      <c r="CD8" s="192" t="s">
        <v>660</v>
      </c>
      <c r="CE8" s="192" t="s">
        <v>660</v>
      </c>
      <c r="CF8" s="192" t="s">
        <v>660</v>
      </c>
      <c r="CG8" s="192" t="s">
        <v>660</v>
      </c>
      <c r="CH8" s="192" t="s">
        <v>660</v>
      </c>
      <c r="CI8" s="192" t="s">
        <v>660</v>
      </c>
      <c r="CJ8" s="192" t="s">
        <v>660</v>
      </c>
      <c r="CK8" s="192" t="s">
        <v>660</v>
      </c>
      <c r="CL8" s="192" t="s">
        <v>660</v>
      </c>
      <c r="CM8" s="192" t="s">
        <v>660</v>
      </c>
      <c r="CN8" s="192" t="s">
        <v>660</v>
      </c>
      <c r="CO8" s="192" t="s">
        <v>660</v>
      </c>
      <c r="CP8" s="192" t="s">
        <v>660</v>
      </c>
      <c r="CQ8" s="192" t="s">
        <v>660</v>
      </c>
      <c r="CR8" s="192" t="s">
        <v>660</v>
      </c>
      <c r="CS8" s="192" t="s">
        <v>660</v>
      </c>
      <c r="CT8" s="192" t="s">
        <v>660</v>
      </c>
      <c r="CU8" s="192" t="s">
        <v>660</v>
      </c>
      <c r="CV8" s="192" t="s">
        <v>660</v>
      </c>
      <c r="CW8" s="192" t="s">
        <v>660</v>
      </c>
      <c r="CX8" s="192" t="s">
        <v>660</v>
      </c>
      <c r="CY8" s="192" t="s">
        <v>660</v>
      </c>
      <c r="CZ8" s="192" t="s">
        <v>660</v>
      </c>
      <c r="DA8" s="192" t="s">
        <v>660</v>
      </c>
      <c r="DB8" s="192" t="s">
        <v>660</v>
      </c>
      <c r="DC8" s="192" t="s">
        <v>660</v>
      </c>
      <c r="DD8" s="192" t="s">
        <v>660</v>
      </c>
      <c r="DE8" s="192" t="s">
        <v>660</v>
      </c>
      <c r="DF8" s="192" t="s">
        <v>660</v>
      </c>
      <c r="DG8" s="192" t="s">
        <v>660</v>
      </c>
      <c r="DH8" s="192" t="s">
        <v>660</v>
      </c>
      <c r="DI8" s="192" t="s">
        <v>660</v>
      </c>
      <c r="DJ8" s="192" t="s">
        <v>660</v>
      </c>
      <c r="DK8" s="192" t="s">
        <v>660</v>
      </c>
      <c r="DL8" s="192" t="s">
        <v>660</v>
      </c>
      <c r="DM8" s="192" t="s">
        <v>660</v>
      </c>
      <c r="DN8" s="192" t="s">
        <v>660</v>
      </c>
      <c r="DO8" s="192" t="s">
        <v>178</v>
      </c>
      <c r="DP8" s="192" t="s">
        <v>660</v>
      </c>
      <c r="DQ8" s="192" t="s">
        <v>679</v>
      </c>
      <c r="DR8" s="192" t="s">
        <v>277</v>
      </c>
      <c r="DS8" s="192" t="s">
        <v>660</v>
      </c>
      <c r="DT8" s="192" t="s">
        <v>307</v>
      </c>
      <c r="DU8" s="192" t="s">
        <v>771</v>
      </c>
      <c r="DV8" s="192" t="s">
        <v>688</v>
      </c>
      <c r="DW8" s="192" t="s">
        <v>668</v>
      </c>
      <c r="DX8" s="192" t="s">
        <v>772</v>
      </c>
      <c r="DY8" s="192" t="s">
        <v>772</v>
      </c>
      <c r="DZ8" s="192" t="s">
        <v>660</v>
      </c>
      <c r="EA8" s="192" t="s">
        <v>660</v>
      </c>
      <c r="EB8" s="192" t="s">
        <v>660</v>
      </c>
      <c r="EC8" s="192" t="s">
        <v>668</v>
      </c>
      <c r="ED8" s="192" t="s">
        <v>660</v>
      </c>
      <c r="EE8" s="192" t="s">
        <v>660</v>
      </c>
      <c r="EF8" s="192" t="s">
        <v>660</v>
      </c>
      <c r="EG8" s="192" t="s">
        <v>660</v>
      </c>
      <c r="EH8" s="192" t="s">
        <v>660</v>
      </c>
      <c r="EI8" s="192" t="s">
        <v>660</v>
      </c>
      <c r="EJ8" s="192" t="s">
        <v>660</v>
      </c>
      <c r="EK8" s="192" t="s">
        <v>660</v>
      </c>
      <c r="EL8" s="192" t="s">
        <v>660</v>
      </c>
      <c r="EM8" s="192" t="s">
        <v>660</v>
      </c>
      <c r="EN8" s="192" t="s">
        <v>660</v>
      </c>
      <c r="EO8" s="192" t="s">
        <v>660</v>
      </c>
      <c r="EP8" s="192" t="s">
        <v>660</v>
      </c>
      <c r="EQ8" s="192" t="s">
        <v>660</v>
      </c>
      <c r="ER8" s="192" t="s">
        <v>660</v>
      </c>
      <c r="ES8" s="192" t="s">
        <v>660</v>
      </c>
      <c r="ET8" s="192" t="s">
        <v>660</v>
      </c>
      <c r="EU8" s="192" t="s">
        <v>660</v>
      </c>
      <c r="EV8" s="192" t="s">
        <v>660</v>
      </c>
      <c r="EW8" s="192" t="s">
        <v>660</v>
      </c>
      <c r="EX8" s="192" t="s">
        <v>660</v>
      </c>
      <c r="EY8" s="192" t="s">
        <v>660</v>
      </c>
      <c r="EZ8" s="192" t="s">
        <v>660</v>
      </c>
      <c r="FA8" s="192" t="s">
        <v>660</v>
      </c>
      <c r="FB8" s="192" t="s">
        <v>660</v>
      </c>
      <c r="FC8" s="192" t="s">
        <v>660</v>
      </c>
      <c r="FD8" s="192" t="s">
        <v>660</v>
      </c>
      <c r="FE8" s="192" t="s">
        <v>660</v>
      </c>
      <c r="FF8" s="192" t="s">
        <v>660</v>
      </c>
      <c r="FG8" s="192" t="s">
        <v>660</v>
      </c>
      <c r="FH8" s="192" t="s">
        <v>773</v>
      </c>
      <c r="FI8" s="192" t="s">
        <v>674</v>
      </c>
      <c r="FJ8" s="192" t="s">
        <v>660</v>
      </c>
    </row>
    <row r="9" spans="1:166" ht="45">
      <c r="A9" s="196">
        <v>46120.56627314815</v>
      </c>
      <c r="B9" s="196">
        <v>46125.616354166668</v>
      </c>
      <c r="C9" s="192" t="s">
        <v>507</v>
      </c>
      <c r="D9" s="192" t="s">
        <v>774</v>
      </c>
      <c r="E9">
        <v>100</v>
      </c>
      <c r="F9">
        <v>436326</v>
      </c>
      <c r="G9" s="192" t="s">
        <v>658</v>
      </c>
      <c r="H9" s="196">
        <v>46125.616366215276</v>
      </c>
      <c r="I9" s="192" t="s">
        <v>775</v>
      </c>
      <c r="J9" s="192" t="s">
        <v>660</v>
      </c>
      <c r="K9" s="192" t="s">
        <v>660</v>
      </c>
      <c r="L9" s="192" t="s">
        <v>660</v>
      </c>
      <c r="M9" s="192" t="s">
        <v>660</v>
      </c>
      <c r="N9">
        <v>40.415300000000002</v>
      </c>
      <c r="O9">
        <v>-3.694</v>
      </c>
      <c r="P9" s="192" t="s">
        <v>661</v>
      </c>
      <c r="Q9" s="192" t="s">
        <v>662</v>
      </c>
      <c r="R9" s="192" t="s">
        <v>9</v>
      </c>
      <c r="S9" s="192" t="s">
        <v>660</v>
      </c>
      <c r="T9" s="192" t="s">
        <v>660</v>
      </c>
      <c r="U9" s="192" t="s">
        <v>660</v>
      </c>
      <c r="V9" s="192" t="s">
        <v>660</v>
      </c>
      <c r="W9" s="192" t="s">
        <v>660</v>
      </c>
      <c r="X9" s="192" t="s">
        <v>660</v>
      </c>
      <c r="Y9" s="192" t="s">
        <v>660</v>
      </c>
      <c r="Z9" s="192" t="s">
        <v>660</v>
      </c>
      <c r="AA9" s="192" t="s">
        <v>660</v>
      </c>
      <c r="AB9" s="192" t="s">
        <v>660</v>
      </c>
      <c r="AC9" s="192" t="s">
        <v>660</v>
      </c>
      <c r="AD9" s="192" t="s">
        <v>660</v>
      </c>
      <c r="AE9" s="192" t="s">
        <v>660</v>
      </c>
      <c r="AF9" s="192" t="s">
        <v>660</v>
      </c>
      <c r="AG9" s="192" t="s">
        <v>660</v>
      </c>
      <c r="AH9" s="192" t="s">
        <v>660</v>
      </c>
      <c r="AI9" s="192" t="s">
        <v>660</v>
      </c>
      <c r="AJ9" s="192" t="s">
        <v>660</v>
      </c>
      <c r="AK9" s="192" t="s">
        <v>660</v>
      </c>
      <c r="AL9" s="192" t="s">
        <v>660</v>
      </c>
      <c r="AM9" s="192" t="s">
        <v>660</v>
      </c>
      <c r="AN9" s="192" t="s">
        <v>660</v>
      </c>
      <c r="AO9" s="192" t="s">
        <v>660</v>
      </c>
      <c r="AP9" s="192" t="s">
        <v>660</v>
      </c>
      <c r="AQ9" s="192" t="s">
        <v>660</v>
      </c>
      <c r="AR9" s="192" t="s">
        <v>660</v>
      </c>
      <c r="AS9" s="192" t="s">
        <v>660</v>
      </c>
      <c r="AT9" s="192" t="s">
        <v>660</v>
      </c>
      <c r="AU9" s="192" t="s">
        <v>660</v>
      </c>
      <c r="AV9" s="192" t="s">
        <v>660</v>
      </c>
      <c r="AW9" s="192" t="s">
        <v>660</v>
      </c>
      <c r="AX9" s="192" t="s">
        <v>660</v>
      </c>
      <c r="AY9" s="192" t="s">
        <v>660</v>
      </c>
      <c r="AZ9" s="192" t="s">
        <v>660</v>
      </c>
      <c r="BA9" s="192" t="s">
        <v>660</v>
      </c>
      <c r="BB9" s="192" t="s">
        <v>660</v>
      </c>
      <c r="BC9" s="192" t="s">
        <v>660</v>
      </c>
      <c r="BD9" s="192" t="s">
        <v>660</v>
      </c>
      <c r="BE9" s="192" t="s">
        <v>660</v>
      </c>
      <c r="BF9" s="192" t="s">
        <v>660</v>
      </c>
      <c r="BG9" s="192" t="s">
        <v>660</v>
      </c>
      <c r="BH9" s="192" t="s">
        <v>660</v>
      </c>
      <c r="BI9" s="192" t="s">
        <v>660</v>
      </c>
      <c r="BJ9" s="192" t="s">
        <v>660</v>
      </c>
      <c r="BK9" s="192" t="s">
        <v>660</v>
      </c>
      <c r="BL9" s="192" t="s">
        <v>660</v>
      </c>
      <c r="BM9" s="192" t="s">
        <v>660</v>
      </c>
      <c r="BN9" s="192" t="s">
        <v>660</v>
      </c>
      <c r="BO9" s="192" t="s">
        <v>660</v>
      </c>
      <c r="BP9" s="192" t="s">
        <v>660</v>
      </c>
      <c r="BQ9" s="192" t="s">
        <v>660</v>
      </c>
      <c r="BR9" s="192" t="s">
        <v>660</v>
      </c>
      <c r="BS9" s="192" t="s">
        <v>660</v>
      </c>
      <c r="BT9" s="192" t="s">
        <v>660</v>
      </c>
      <c r="BU9" s="192" t="s">
        <v>660</v>
      </c>
      <c r="BV9" s="192" t="s">
        <v>660</v>
      </c>
      <c r="BW9" s="192" t="s">
        <v>660</v>
      </c>
      <c r="BX9" s="192" t="s">
        <v>660</v>
      </c>
      <c r="BY9" s="192" t="s">
        <v>660</v>
      </c>
      <c r="BZ9" s="192" t="s">
        <v>660</v>
      </c>
      <c r="CA9" s="192" t="s">
        <v>660</v>
      </c>
      <c r="CB9" s="192" t="s">
        <v>660</v>
      </c>
      <c r="CC9" s="192" t="s">
        <v>660</v>
      </c>
      <c r="CD9" s="192" t="s">
        <v>660</v>
      </c>
      <c r="CE9" s="192" t="s">
        <v>660</v>
      </c>
      <c r="CF9" s="192" t="s">
        <v>660</v>
      </c>
      <c r="CG9" s="192" t="s">
        <v>660</v>
      </c>
      <c r="CH9" s="192" t="s">
        <v>660</v>
      </c>
      <c r="CI9" s="192" t="s">
        <v>660</v>
      </c>
      <c r="CJ9" s="192" t="s">
        <v>660</v>
      </c>
      <c r="CK9" s="192" t="s">
        <v>660</v>
      </c>
      <c r="CL9" s="192" t="s">
        <v>660</v>
      </c>
      <c r="CM9" s="192" t="s">
        <v>660</v>
      </c>
      <c r="CN9" s="192" t="s">
        <v>660</v>
      </c>
      <c r="CO9" s="192" t="s">
        <v>660</v>
      </c>
      <c r="CP9" s="192" t="s">
        <v>660</v>
      </c>
      <c r="CQ9" s="192" t="s">
        <v>660</v>
      </c>
      <c r="CR9" s="192" t="s">
        <v>660</v>
      </c>
      <c r="CS9" s="192" t="s">
        <v>660</v>
      </c>
      <c r="CT9" s="192" t="s">
        <v>660</v>
      </c>
      <c r="CU9" s="192" t="s">
        <v>660</v>
      </c>
      <c r="CV9" s="192" t="s">
        <v>660</v>
      </c>
      <c r="CW9" s="192" t="s">
        <v>660</v>
      </c>
      <c r="CX9" s="192" t="s">
        <v>660</v>
      </c>
      <c r="CY9" s="192" t="s">
        <v>660</v>
      </c>
      <c r="CZ9" s="192" t="s">
        <v>660</v>
      </c>
      <c r="DA9" s="192" t="s">
        <v>660</v>
      </c>
      <c r="DB9" s="192" t="s">
        <v>660</v>
      </c>
      <c r="DC9" s="192" t="s">
        <v>660</v>
      </c>
      <c r="DD9" s="192" t="s">
        <v>660</v>
      </c>
      <c r="DE9" s="192" t="s">
        <v>660</v>
      </c>
      <c r="DF9" s="192" t="s">
        <v>660</v>
      </c>
      <c r="DG9" s="192" t="s">
        <v>660</v>
      </c>
      <c r="DH9" s="192" t="s">
        <v>660</v>
      </c>
      <c r="DI9" s="192" t="s">
        <v>660</v>
      </c>
      <c r="DJ9" s="192" t="s">
        <v>660</v>
      </c>
      <c r="DK9" s="192" t="s">
        <v>660</v>
      </c>
      <c r="DL9" s="192" t="s">
        <v>660</v>
      </c>
      <c r="DM9" s="192" t="s">
        <v>660</v>
      </c>
      <c r="DN9" s="192" t="s">
        <v>660</v>
      </c>
      <c r="DO9" s="192" t="s">
        <v>660</v>
      </c>
      <c r="DP9" s="192" t="s">
        <v>660</v>
      </c>
      <c r="DQ9" s="192" t="s">
        <v>660</v>
      </c>
      <c r="DR9" s="192" t="s">
        <v>660</v>
      </c>
      <c r="DS9" s="192" t="s">
        <v>660</v>
      </c>
      <c r="DT9" s="192" t="s">
        <v>660</v>
      </c>
      <c r="DU9" s="192" t="s">
        <v>660</v>
      </c>
      <c r="DV9" s="192" t="s">
        <v>660</v>
      </c>
      <c r="DW9" s="192" t="s">
        <v>660</v>
      </c>
      <c r="DX9" s="192" t="s">
        <v>660</v>
      </c>
      <c r="DY9" s="192" t="s">
        <v>660</v>
      </c>
      <c r="DZ9" s="192" t="s">
        <v>660</v>
      </c>
      <c r="EA9" s="192" t="s">
        <v>660</v>
      </c>
      <c r="EB9" s="192" t="s">
        <v>660</v>
      </c>
      <c r="EC9" s="192" t="s">
        <v>660</v>
      </c>
      <c r="ED9" s="192" t="s">
        <v>660</v>
      </c>
      <c r="EE9" s="192" t="s">
        <v>660</v>
      </c>
      <c r="EF9" s="192" t="s">
        <v>660</v>
      </c>
      <c r="EG9" s="192" t="s">
        <v>660</v>
      </c>
      <c r="EH9" s="192" t="s">
        <v>660</v>
      </c>
      <c r="EI9" s="192" t="s">
        <v>660</v>
      </c>
      <c r="EJ9" s="192" t="s">
        <v>660</v>
      </c>
      <c r="EK9" s="192" t="s">
        <v>660</v>
      </c>
      <c r="EL9" s="192" t="s">
        <v>660</v>
      </c>
      <c r="EM9" s="192" t="s">
        <v>660</v>
      </c>
      <c r="EN9" s="192" t="s">
        <v>660</v>
      </c>
      <c r="EO9" s="192" t="s">
        <v>660</v>
      </c>
      <c r="EP9" s="192" t="s">
        <v>660</v>
      </c>
      <c r="EQ9" s="192" t="s">
        <v>660</v>
      </c>
      <c r="ER9" s="192" t="s">
        <v>660</v>
      </c>
      <c r="ES9" s="192" t="s">
        <v>660</v>
      </c>
      <c r="ET9" s="192" t="s">
        <v>660</v>
      </c>
      <c r="EU9" s="192" t="s">
        <v>660</v>
      </c>
      <c r="EV9" s="192" t="s">
        <v>660</v>
      </c>
      <c r="EW9" s="192" t="s">
        <v>660</v>
      </c>
      <c r="EX9" s="192" t="s">
        <v>660</v>
      </c>
      <c r="EY9" s="192" t="s">
        <v>660</v>
      </c>
      <c r="EZ9" s="192" t="s">
        <v>660</v>
      </c>
      <c r="FA9" s="192" t="s">
        <v>660</v>
      </c>
      <c r="FB9" s="192" t="s">
        <v>660</v>
      </c>
      <c r="FC9" s="192" t="s">
        <v>660</v>
      </c>
      <c r="FD9" s="192" t="s">
        <v>660</v>
      </c>
      <c r="FE9" s="192" t="s">
        <v>660</v>
      </c>
      <c r="FF9" s="192" t="s">
        <v>660</v>
      </c>
      <c r="FG9" s="192" t="s">
        <v>660</v>
      </c>
      <c r="FH9" s="192" t="s">
        <v>660</v>
      </c>
      <c r="FI9" s="192" t="s">
        <v>674</v>
      </c>
      <c r="FJ9" s="192" t="s">
        <v>660</v>
      </c>
    </row>
    <row r="10" spans="1:166" ht="409.5">
      <c r="A10" s="196">
        <v>46120.85255787037</v>
      </c>
      <c r="B10" s="196">
        <v>46125.686562499999</v>
      </c>
      <c r="C10" s="192" t="s">
        <v>507</v>
      </c>
      <c r="D10" s="192" t="s">
        <v>776</v>
      </c>
      <c r="E10">
        <v>100</v>
      </c>
      <c r="F10">
        <v>417657</v>
      </c>
      <c r="G10" s="192" t="s">
        <v>658</v>
      </c>
      <c r="H10" s="196">
        <v>46125.686574108797</v>
      </c>
      <c r="I10" s="192" t="s">
        <v>777</v>
      </c>
      <c r="J10" s="192" t="s">
        <v>660</v>
      </c>
      <c r="K10" s="192" t="s">
        <v>660</v>
      </c>
      <c r="L10" s="192" t="s">
        <v>660</v>
      </c>
      <c r="M10" s="192" t="s">
        <v>660</v>
      </c>
      <c r="N10">
        <v>-23.629300000000001</v>
      </c>
      <c r="O10">
        <v>-46.635100000000001</v>
      </c>
      <c r="P10" s="192" t="s">
        <v>661</v>
      </c>
      <c r="Q10" s="192" t="s">
        <v>662</v>
      </c>
      <c r="R10" s="192" t="s">
        <v>17</v>
      </c>
      <c r="S10" s="192" t="s">
        <v>778</v>
      </c>
      <c r="T10" s="192" t="s">
        <v>779</v>
      </c>
      <c r="U10" s="192" t="s">
        <v>324</v>
      </c>
      <c r="V10" s="192" t="s">
        <v>327</v>
      </c>
      <c r="W10" s="192" t="s">
        <v>330</v>
      </c>
      <c r="X10" s="192" t="s">
        <v>660</v>
      </c>
      <c r="Y10" s="192" t="s">
        <v>660</v>
      </c>
      <c r="Z10" s="192" t="s">
        <v>780</v>
      </c>
      <c r="AA10" s="192" t="s">
        <v>660</v>
      </c>
      <c r="AB10" s="192" t="s">
        <v>660</v>
      </c>
      <c r="AC10" s="192" t="s">
        <v>781</v>
      </c>
      <c r="AD10" s="192" t="s">
        <v>782</v>
      </c>
      <c r="AE10" s="192" t="s">
        <v>686</v>
      </c>
      <c r="AF10" s="192" t="s">
        <v>322</v>
      </c>
      <c r="AG10" s="192" t="s">
        <v>660</v>
      </c>
      <c r="AH10" s="192" t="s">
        <v>321</v>
      </c>
      <c r="AI10" s="192" t="s">
        <v>783</v>
      </c>
      <c r="AJ10" s="192" t="s">
        <v>769</v>
      </c>
      <c r="AK10" s="192" t="s">
        <v>668</v>
      </c>
      <c r="AL10" s="192" t="s">
        <v>784</v>
      </c>
      <c r="AM10" s="192" t="s">
        <v>785</v>
      </c>
      <c r="AN10" s="192" t="s">
        <v>668</v>
      </c>
      <c r="AO10" s="192" t="s">
        <v>668</v>
      </c>
      <c r="AP10" s="192" t="s">
        <v>668</v>
      </c>
      <c r="AQ10" s="192" t="s">
        <v>668</v>
      </c>
      <c r="AR10" s="192" t="s">
        <v>153</v>
      </c>
      <c r="AS10" s="192" t="s">
        <v>786</v>
      </c>
      <c r="AT10" s="192" t="s">
        <v>686</v>
      </c>
      <c r="AU10" s="192" t="s">
        <v>317</v>
      </c>
      <c r="AV10" s="192" t="s">
        <v>660</v>
      </c>
      <c r="AW10" s="192" t="s">
        <v>326</v>
      </c>
      <c r="AX10" s="192" t="s">
        <v>787</v>
      </c>
      <c r="AY10" s="192" t="s">
        <v>788</v>
      </c>
      <c r="AZ10" s="192" t="s">
        <v>673</v>
      </c>
      <c r="BA10" s="192" t="s">
        <v>784</v>
      </c>
      <c r="BB10" s="192" t="s">
        <v>789</v>
      </c>
      <c r="BC10" s="192" t="s">
        <v>668</v>
      </c>
      <c r="BD10" s="192" t="s">
        <v>668</v>
      </c>
      <c r="BE10" s="192" t="s">
        <v>668</v>
      </c>
      <c r="BF10" s="192" t="s">
        <v>673</v>
      </c>
      <c r="BG10" s="192" t="s">
        <v>141</v>
      </c>
      <c r="BH10" s="192" t="s">
        <v>660</v>
      </c>
      <c r="BI10" s="192" t="s">
        <v>790</v>
      </c>
      <c r="BJ10" s="192" t="s">
        <v>329</v>
      </c>
      <c r="BK10" s="192" t="s">
        <v>660</v>
      </c>
      <c r="BL10" s="192" t="s">
        <v>328</v>
      </c>
      <c r="BM10" s="192" t="s">
        <v>791</v>
      </c>
      <c r="BN10" s="192" t="s">
        <v>792</v>
      </c>
      <c r="BO10" s="192" t="s">
        <v>668</v>
      </c>
      <c r="BP10" s="192" t="s">
        <v>784</v>
      </c>
      <c r="BQ10" s="192" t="s">
        <v>789</v>
      </c>
      <c r="BR10" s="192" t="s">
        <v>668</v>
      </c>
      <c r="BS10" s="192" t="s">
        <v>668</v>
      </c>
      <c r="BT10" s="192" t="s">
        <v>668</v>
      </c>
      <c r="BU10" s="192" t="s">
        <v>673</v>
      </c>
      <c r="BV10" s="192" t="s">
        <v>206</v>
      </c>
      <c r="BW10" s="192" t="s">
        <v>660</v>
      </c>
      <c r="BX10" s="192" t="s">
        <v>793</v>
      </c>
      <c r="BY10" s="192" t="s">
        <v>332</v>
      </c>
      <c r="BZ10" s="192" t="s">
        <v>660</v>
      </c>
      <c r="CA10" s="192" t="s">
        <v>331</v>
      </c>
      <c r="CB10" s="192" t="s">
        <v>794</v>
      </c>
      <c r="CC10" s="192" t="s">
        <v>795</v>
      </c>
      <c r="CD10" s="192" t="s">
        <v>668</v>
      </c>
      <c r="CE10" s="192" t="s">
        <v>784</v>
      </c>
      <c r="CF10" s="192" t="s">
        <v>789</v>
      </c>
      <c r="CG10" s="192" t="s">
        <v>668</v>
      </c>
      <c r="CH10" s="192" t="s">
        <v>668</v>
      </c>
      <c r="CI10" s="192" t="s">
        <v>668</v>
      </c>
      <c r="CJ10" s="192" t="s">
        <v>673</v>
      </c>
      <c r="CK10" s="192" t="s">
        <v>660</v>
      </c>
      <c r="CL10" s="192" t="s">
        <v>660</v>
      </c>
      <c r="CM10" s="192" t="s">
        <v>660</v>
      </c>
      <c r="CN10" s="192" t="s">
        <v>660</v>
      </c>
      <c r="CO10" s="192" t="s">
        <v>660</v>
      </c>
      <c r="CP10" s="192" t="s">
        <v>660</v>
      </c>
      <c r="CQ10" s="192" t="s">
        <v>660</v>
      </c>
      <c r="CR10" s="192" t="s">
        <v>660</v>
      </c>
      <c r="CS10" s="192" t="s">
        <v>660</v>
      </c>
      <c r="CT10" s="192" t="s">
        <v>660</v>
      </c>
      <c r="CU10" s="192" t="s">
        <v>660</v>
      </c>
      <c r="CV10" s="192" t="s">
        <v>660</v>
      </c>
      <c r="CW10" s="192" t="s">
        <v>660</v>
      </c>
      <c r="CX10" s="192" t="s">
        <v>660</v>
      </c>
      <c r="CY10" s="192" t="s">
        <v>660</v>
      </c>
      <c r="CZ10" s="192" t="s">
        <v>660</v>
      </c>
      <c r="DA10" s="192" t="s">
        <v>660</v>
      </c>
      <c r="DB10" s="192" t="s">
        <v>660</v>
      </c>
      <c r="DC10" s="192" t="s">
        <v>660</v>
      </c>
      <c r="DD10" s="192" t="s">
        <v>660</v>
      </c>
      <c r="DE10" s="192" t="s">
        <v>660</v>
      </c>
      <c r="DF10" s="192" t="s">
        <v>660</v>
      </c>
      <c r="DG10" s="192" t="s">
        <v>660</v>
      </c>
      <c r="DH10" s="192" t="s">
        <v>660</v>
      </c>
      <c r="DI10" s="192" t="s">
        <v>660</v>
      </c>
      <c r="DJ10" s="192" t="s">
        <v>660</v>
      </c>
      <c r="DK10" s="192" t="s">
        <v>660</v>
      </c>
      <c r="DL10" s="192" t="s">
        <v>660</v>
      </c>
      <c r="DM10" s="192" t="s">
        <v>660</v>
      </c>
      <c r="DN10" s="192" t="s">
        <v>660</v>
      </c>
      <c r="DO10" s="192" t="s">
        <v>178</v>
      </c>
      <c r="DP10" s="192" t="s">
        <v>660</v>
      </c>
      <c r="DQ10" s="192" t="s">
        <v>686</v>
      </c>
      <c r="DR10" s="192" t="s">
        <v>317</v>
      </c>
      <c r="DS10" s="192" t="s">
        <v>660</v>
      </c>
      <c r="DT10" s="192" t="s">
        <v>316</v>
      </c>
      <c r="DU10" s="192" t="s">
        <v>791</v>
      </c>
      <c r="DV10" s="192" t="s">
        <v>792</v>
      </c>
      <c r="DW10" s="192" t="s">
        <v>673</v>
      </c>
      <c r="DX10" s="192" t="s">
        <v>784</v>
      </c>
      <c r="DY10" s="192" t="s">
        <v>789</v>
      </c>
      <c r="DZ10" s="192" t="s">
        <v>668</v>
      </c>
      <c r="EA10" s="192" t="s">
        <v>668</v>
      </c>
      <c r="EB10" s="192" t="s">
        <v>668</v>
      </c>
      <c r="EC10" s="192" t="s">
        <v>673</v>
      </c>
      <c r="ED10" s="192" t="s">
        <v>660</v>
      </c>
      <c r="EE10" s="192" t="s">
        <v>660</v>
      </c>
      <c r="EF10" s="192" t="s">
        <v>660</v>
      </c>
      <c r="EG10" s="192" t="s">
        <v>660</v>
      </c>
      <c r="EH10" s="192" t="s">
        <v>660</v>
      </c>
      <c r="EI10" s="192" t="s">
        <v>660</v>
      </c>
      <c r="EJ10" s="192" t="s">
        <v>660</v>
      </c>
      <c r="EK10" s="192" t="s">
        <v>660</v>
      </c>
      <c r="EL10" s="192" t="s">
        <v>660</v>
      </c>
      <c r="EM10" s="192" t="s">
        <v>660</v>
      </c>
      <c r="EN10" s="192" t="s">
        <v>660</v>
      </c>
      <c r="EO10" s="192" t="s">
        <v>660</v>
      </c>
      <c r="EP10" s="192" t="s">
        <v>660</v>
      </c>
      <c r="EQ10" s="192" t="s">
        <v>660</v>
      </c>
      <c r="ER10" s="192" t="s">
        <v>660</v>
      </c>
      <c r="ES10" s="192" t="s">
        <v>660</v>
      </c>
      <c r="ET10" s="192" t="s">
        <v>660</v>
      </c>
      <c r="EU10" s="192" t="s">
        <v>660</v>
      </c>
      <c r="EV10" s="192" t="s">
        <v>660</v>
      </c>
      <c r="EW10" s="192" t="s">
        <v>660</v>
      </c>
      <c r="EX10" s="192" t="s">
        <v>660</v>
      </c>
      <c r="EY10" s="192" t="s">
        <v>660</v>
      </c>
      <c r="EZ10" s="192" t="s">
        <v>660</v>
      </c>
      <c r="FA10" s="192" t="s">
        <v>660</v>
      </c>
      <c r="FB10" s="192" t="s">
        <v>660</v>
      </c>
      <c r="FC10" s="192" t="s">
        <v>660</v>
      </c>
      <c r="FD10" s="192" t="s">
        <v>660</v>
      </c>
      <c r="FE10" s="192" t="s">
        <v>660</v>
      </c>
      <c r="FF10" s="192" t="s">
        <v>660</v>
      </c>
      <c r="FG10" s="192" t="s">
        <v>660</v>
      </c>
      <c r="FH10" s="192" t="s">
        <v>796</v>
      </c>
      <c r="FI10" s="192" t="s">
        <v>674</v>
      </c>
      <c r="FJ10" s="192" t="s">
        <v>660</v>
      </c>
    </row>
    <row r="11" spans="1:166" ht="409.5">
      <c r="A11" s="196">
        <v>46125.662754629629</v>
      </c>
      <c r="B11" s="196">
        <v>46125.69740740741</v>
      </c>
      <c r="C11" s="192" t="s">
        <v>507</v>
      </c>
      <c r="D11" s="192" t="s">
        <v>797</v>
      </c>
      <c r="E11">
        <v>100</v>
      </c>
      <c r="F11">
        <v>2993</v>
      </c>
      <c r="G11" s="192" t="s">
        <v>658</v>
      </c>
      <c r="H11" s="196">
        <v>46125.697420358796</v>
      </c>
      <c r="I11" s="192" t="s">
        <v>798</v>
      </c>
      <c r="J11" s="192" t="s">
        <v>660</v>
      </c>
      <c r="K11" s="192" t="s">
        <v>660</v>
      </c>
      <c r="L11" s="192" t="s">
        <v>660</v>
      </c>
      <c r="M11" s="192" t="s">
        <v>660</v>
      </c>
      <c r="N11">
        <v>43.841500000000003</v>
      </c>
      <c r="O11">
        <v>-79.629499999999993</v>
      </c>
      <c r="P11" s="192" t="s">
        <v>661</v>
      </c>
      <c r="Q11" s="192" t="s">
        <v>662</v>
      </c>
      <c r="R11" s="192" t="s">
        <v>8</v>
      </c>
      <c r="S11" s="192" t="s">
        <v>799</v>
      </c>
      <c r="T11" s="192" t="s">
        <v>210</v>
      </c>
      <c r="U11" s="192" t="s">
        <v>660</v>
      </c>
      <c r="V11" s="192" t="s">
        <v>660</v>
      </c>
      <c r="W11" s="192" t="s">
        <v>214</v>
      </c>
      <c r="X11" s="192" t="s">
        <v>660</v>
      </c>
      <c r="Y11" s="192" t="s">
        <v>660</v>
      </c>
      <c r="Z11" s="192" t="s">
        <v>205</v>
      </c>
      <c r="AA11" s="192" t="s">
        <v>660</v>
      </c>
      <c r="AB11" s="192" t="s">
        <v>660</v>
      </c>
      <c r="AC11" s="192" t="s">
        <v>206</v>
      </c>
      <c r="AD11" s="192" t="s">
        <v>660</v>
      </c>
      <c r="AE11" s="192" t="s">
        <v>679</v>
      </c>
      <c r="AF11" s="192" t="s">
        <v>800</v>
      </c>
      <c r="AG11" s="192" t="s">
        <v>801</v>
      </c>
      <c r="AH11" s="192" t="s">
        <v>211</v>
      </c>
      <c r="AI11" s="192" t="s">
        <v>671</v>
      </c>
      <c r="AJ11" s="192" t="s">
        <v>795</v>
      </c>
      <c r="AK11" s="192" t="s">
        <v>668</v>
      </c>
      <c r="AL11" s="192" t="s">
        <v>802</v>
      </c>
      <c r="AM11" s="192" t="s">
        <v>803</v>
      </c>
      <c r="AN11" s="192" t="s">
        <v>668</v>
      </c>
      <c r="AO11" s="192" t="s">
        <v>668</v>
      </c>
      <c r="AP11" s="192" t="s">
        <v>668</v>
      </c>
      <c r="AQ11" s="192" t="s">
        <v>673</v>
      </c>
      <c r="AR11" s="192" t="s">
        <v>660</v>
      </c>
      <c r="AS11" s="192" t="s">
        <v>660</v>
      </c>
      <c r="AT11" s="192" t="s">
        <v>660</v>
      </c>
      <c r="AU11" s="192" t="s">
        <v>660</v>
      </c>
      <c r="AV11" s="192" t="s">
        <v>660</v>
      </c>
      <c r="AW11" s="192" t="s">
        <v>660</v>
      </c>
      <c r="AX11" s="192" t="s">
        <v>660</v>
      </c>
      <c r="AY11" s="192" t="s">
        <v>660</v>
      </c>
      <c r="AZ11" s="192" t="s">
        <v>660</v>
      </c>
      <c r="BA11" s="192" t="s">
        <v>660</v>
      </c>
      <c r="BB11" s="192" t="s">
        <v>660</v>
      </c>
      <c r="BC11" s="192" t="s">
        <v>660</v>
      </c>
      <c r="BD11" s="192" t="s">
        <v>660</v>
      </c>
      <c r="BE11" s="192" t="s">
        <v>660</v>
      </c>
      <c r="BF11" s="192" t="s">
        <v>660</v>
      </c>
      <c r="BG11" s="192" t="s">
        <v>660</v>
      </c>
      <c r="BH11" s="192" t="s">
        <v>660</v>
      </c>
      <c r="BI11" s="192" t="s">
        <v>660</v>
      </c>
      <c r="BJ11" s="192" t="s">
        <v>660</v>
      </c>
      <c r="BK11" s="192" t="s">
        <v>660</v>
      </c>
      <c r="BL11" s="192" t="s">
        <v>660</v>
      </c>
      <c r="BM11" s="192" t="s">
        <v>660</v>
      </c>
      <c r="BN11" s="192" t="s">
        <v>660</v>
      </c>
      <c r="BO11" s="192" t="s">
        <v>660</v>
      </c>
      <c r="BP11" s="192" t="s">
        <v>660</v>
      </c>
      <c r="BQ11" s="192" t="s">
        <v>660</v>
      </c>
      <c r="BR11" s="192" t="s">
        <v>660</v>
      </c>
      <c r="BS11" s="192" t="s">
        <v>660</v>
      </c>
      <c r="BT11" s="192" t="s">
        <v>660</v>
      </c>
      <c r="BU11" s="192" t="s">
        <v>660</v>
      </c>
      <c r="BV11" s="192" t="s">
        <v>153</v>
      </c>
      <c r="BW11" s="192" t="s">
        <v>804</v>
      </c>
      <c r="BX11" s="192" t="s">
        <v>805</v>
      </c>
      <c r="BY11" s="192" t="s">
        <v>806</v>
      </c>
      <c r="BZ11" s="192" t="s">
        <v>807</v>
      </c>
      <c r="CA11" s="192" t="s">
        <v>216</v>
      </c>
      <c r="CB11" s="192" t="s">
        <v>692</v>
      </c>
      <c r="CC11" s="192" t="s">
        <v>808</v>
      </c>
      <c r="CD11" s="192" t="s">
        <v>668</v>
      </c>
      <c r="CE11" s="192" t="s">
        <v>809</v>
      </c>
      <c r="CF11" s="192" t="s">
        <v>810</v>
      </c>
      <c r="CG11" s="192" t="s">
        <v>668</v>
      </c>
      <c r="CH11" s="192" t="s">
        <v>668</v>
      </c>
      <c r="CI11" s="192" t="s">
        <v>660</v>
      </c>
      <c r="CJ11" s="192" t="s">
        <v>668</v>
      </c>
      <c r="CK11" s="192" t="s">
        <v>660</v>
      </c>
      <c r="CL11" s="192" t="s">
        <v>660</v>
      </c>
      <c r="CM11" s="192" t="s">
        <v>660</v>
      </c>
      <c r="CN11" s="192" t="s">
        <v>660</v>
      </c>
      <c r="CO11" s="192" t="s">
        <v>660</v>
      </c>
      <c r="CP11" s="192" t="s">
        <v>660</v>
      </c>
      <c r="CQ11" s="192" t="s">
        <v>660</v>
      </c>
      <c r="CR11" s="192" t="s">
        <v>660</v>
      </c>
      <c r="CS11" s="192" t="s">
        <v>660</v>
      </c>
      <c r="CT11" s="192" t="s">
        <v>660</v>
      </c>
      <c r="CU11" s="192" t="s">
        <v>660</v>
      </c>
      <c r="CV11" s="192" t="s">
        <v>660</v>
      </c>
      <c r="CW11" s="192" t="s">
        <v>660</v>
      </c>
      <c r="CX11" s="192" t="s">
        <v>660</v>
      </c>
      <c r="CY11" s="192" t="s">
        <v>660</v>
      </c>
      <c r="CZ11" s="192" t="s">
        <v>660</v>
      </c>
      <c r="DA11" s="192" t="s">
        <v>660</v>
      </c>
      <c r="DB11" s="192" t="s">
        <v>660</v>
      </c>
      <c r="DC11" s="192" t="s">
        <v>660</v>
      </c>
      <c r="DD11" s="192" t="s">
        <v>660</v>
      </c>
      <c r="DE11" s="192" t="s">
        <v>660</v>
      </c>
      <c r="DF11" s="192" t="s">
        <v>660</v>
      </c>
      <c r="DG11" s="192" t="s">
        <v>660</v>
      </c>
      <c r="DH11" s="192" t="s">
        <v>660</v>
      </c>
      <c r="DI11" s="192" t="s">
        <v>660</v>
      </c>
      <c r="DJ11" s="192" t="s">
        <v>660</v>
      </c>
      <c r="DK11" s="192" t="s">
        <v>660</v>
      </c>
      <c r="DL11" s="192" t="s">
        <v>660</v>
      </c>
      <c r="DM11" s="192" t="s">
        <v>660</v>
      </c>
      <c r="DN11" s="192" t="s">
        <v>660</v>
      </c>
      <c r="DO11" s="192" t="s">
        <v>206</v>
      </c>
      <c r="DP11" s="192" t="s">
        <v>660</v>
      </c>
      <c r="DQ11" s="192" t="s">
        <v>679</v>
      </c>
      <c r="DR11" s="192" t="s">
        <v>811</v>
      </c>
      <c r="DS11" s="192" t="s">
        <v>812</v>
      </c>
      <c r="DT11" s="192" t="s">
        <v>207</v>
      </c>
      <c r="DU11" s="192" t="s">
        <v>813</v>
      </c>
      <c r="DV11" s="192" t="s">
        <v>814</v>
      </c>
      <c r="DW11" s="192" t="s">
        <v>668</v>
      </c>
      <c r="DX11" s="192" t="s">
        <v>815</v>
      </c>
      <c r="DY11" s="192" t="s">
        <v>816</v>
      </c>
      <c r="DZ11" s="192" t="s">
        <v>668</v>
      </c>
      <c r="EA11" s="192" t="s">
        <v>668</v>
      </c>
      <c r="EB11" s="192" t="s">
        <v>668</v>
      </c>
      <c r="EC11" s="192" t="s">
        <v>668</v>
      </c>
      <c r="ED11" s="192" t="s">
        <v>660</v>
      </c>
      <c r="EE11" s="192" t="s">
        <v>660</v>
      </c>
      <c r="EF11" s="192" t="s">
        <v>660</v>
      </c>
      <c r="EG11" s="192" t="s">
        <v>660</v>
      </c>
      <c r="EH11" s="192" t="s">
        <v>660</v>
      </c>
      <c r="EI11" s="192" t="s">
        <v>660</v>
      </c>
      <c r="EJ11" s="192" t="s">
        <v>660</v>
      </c>
      <c r="EK11" s="192" t="s">
        <v>660</v>
      </c>
      <c r="EL11" s="192" t="s">
        <v>660</v>
      </c>
      <c r="EM11" s="192" t="s">
        <v>660</v>
      </c>
      <c r="EN11" s="192" t="s">
        <v>660</v>
      </c>
      <c r="EO11" s="192" t="s">
        <v>660</v>
      </c>
      <c r="EP11" s="192" t="s">
        <v>660</v>
      </c>
      <c r="EQ11" s="192" t="s">
        <v>660</v>
      </c>
      <c r="ER11" s="192" t="s">
        <v>660</v>
      </c>
      <c r="ES11" s="192" t="s">
        <v>660</v>
      </c>
      <c r="ET11" s="192" t="s">
        <v>660</v>
      </c>
      <c r="EU11" s="192" t="s">
        <v>660</v>
      </c>
      <c r="EV11" s="192" t="s">
        <v>660</v>
      </c>
      <c r="EW11" s="192" t="s">
        <v>660</v>
      </c>
      <c r="EX11" s="192" t="s">
        <v>660</v>
      </c>
      <c r="EY11" s="192" t="s">
        <v>660</v>
      </c>
      <c r="EZ11" s="192" t="s">
        <v>660</v>
      </c>
      <c r="FA11" s="192" t="s">
        <v>660</v>
      </c>
      <c r="FB11" s="192" t="s">
        <v>660</v>
      </c>
      <c r="FC11" s="192" t="s">
        <v>660</v>
      </c>
      <c r="FD11" s="192" t="s">
        <v>660</v>
      </c>
      <c r="FE11" s="192" t="s">
        <v>660</v>
      </c>
      <c r="FF11" s="192" t="s">
        <v>660</v>
      </c>
      <c r="FG11" s="192" t="s">
        <v>660</v>
      </c>
      <c r="FH11" s="192" t="s">
        <v>660</v>
      </c>
      <c r="FI11" s="192" t="s">
        <v>674</v>
      </c>
      <c r="FJ11" s="192" t="s">
        <v>660</v>
      </c>
    </row>
    <row r="12" spans="1:166" ht="285">
      <c r="A12" s="196">
        <v>46125.629861111112</v>
      </c>
      <c r="B12" s="196">
        <v>46125.716504629629</v>
      </c>
      <c r="C12" s="192" t="s">
        <v>507</v>
      </c>
      <c r="D12" s="192" t="s">
        <v>817</v>
      </c>
      <c r="E12">
        <v>100</v>
      </c>
      <c r="F12">
        <v>7486</v>
      </c>
      <c r="G12" s="192" t="s">
        <v>658</v>
      </c>
      <c r="H12" s="196">
        <v>46125.716517395835</v>
      </c>
      <c r="I12" s="192" t="s">
        <v>818</v>
      </c>
      <c r="J12" s="192" t="s">
        <v>660</v>
      </c>
      <c r="K12" s="192" t="s">
        <v>660</v>
      </c>
      <c r="L12" s="192" t="s">
        <v>660</v>
      </c>
      <c r="M12" s="192" t="s">
        <v>660</v>
      </c>
      <c r="N12">
        <v>38.721899999999998</v>
      </c>
      <c r="O12">
        <v>-9.1397999999999993</v>
      </c>
      <c r="P12" s="192" t="s">
        <v>661</v>
      </c>
      <c r="Q12" s="192" t="s">
        <v>662</v>
      </c>
      <c r="R12" s="192" t="s">
        <v>11</v>
      </c>
      <c r="S12" s="192" t="s">
        <v>819</v>
      </c>
      <c r="T12" s="192" t="s">
        <v>660</v>
      </c>
      <c r="U12" s="192" t="s">
        <v>660</v>
      </c>
      <c r="V12" s="192" t="s">
        <v>660</v>
      </c>
      <c r="W12" s="192" t="s">
        <v>263</v>
      </c>
      <c r="X12" s="192" t="s">
        <v>268</v>
      </c>
      <c r="Y12" s="192" t="s">
        <v>266</v>
      </c>
      <c r="Z12" s="192" t="s">
        <v>259</v>
      </c>
      <c r="AA12" s="192" t="s">
        <v>660</v>
      </c>
      <c r="AB12" s="192" t="s">
        <v>660</v>
      </c>
      <c r="AC12" s="192" t="s">
        <v>660</v>
      </c>
      <c r="AD12" s="192" t="s">
        <v>660</v>
      </c>
      <c r="AE12" s="192" t="s">
        <v>660</v>
      </c>
      <c r="AF12" s="192" t="s">
        <v>660</v>
      </c>
      <c r="AG12" s="192" t="s">
        <v>660</v>
      </c>
      <c r="AH12" s="192" t="s">
        <v>660</v>
      </c>
      <c r="AI12" s="192" t="s">
        <v>660</v>
      </c>
      <c r="AJ12" s="192" t="s">
        <v>660</v>
      </c>
      <c r="AK12" s="192" t="s">
        <v>660</v>
      </c>
      <c r="AL12" s="192" t="s">
        <v>660</v>
      </c>
      <c r="AM12" s="192" t="s">
        <v>660</v>
      </c>
      <c r="AN12" s="192" t="s">
        <v>660</v>
      </c>
      <c r="AO12" s="192" t="s">
        <v>660</v>
      </c>
      <c r="AP12" s="192" t="s">
        <v>660</v>
      </c>
      <c r="AQ12" s="192" t="s">
        <v>660</v>
      </c>
      <c r="AR12" s="192" t="s">
        <v>660</v>
      </c>
      <c r="AS12" s="192" t="s">
        <v>660</v>
      </c>
      <c r="AT12" s="192" t="s">
        <v>660</v>
      </c>
      <c r="AU12" s="192" t="s">
        <v>660</v>
      </c>
      <c r="AV12" s="192" t="s">
        <v>660</v>
      </c>
      <c r="AW12" s="192" t="s">
        <v>660</v>
      </c>
      <c r="AX12" s="192" t="s">
        <v>660</v>
      </c>
      <c r="AY12" s="192" t="s">
        <v>660</v>
      </c>
      <c r="AZ12" s="192" t="s">
        <v>660</v>
      </c>
      <c r="BA12" s="192" t="s">
        <v>660</v>
      </c>
      <c r="BB12" s="192" t="s">
        <v>660</v>
      </c>
      <c r="BC12" s="192" t="s">
        <v>660</v>
      </c>
      <c r="BD12" s="192" t="s">
        <v>660</v>
      </c>
      <c r="BE12" s="192" t="s">
        <v>660</v>
      </c>
      <c r="BF12" s="192" t="s">
        <v>660</v>
      </c>
      <c r="BG12" s="192" t="s">
        <v>660</v>
      </c>
      <c r="BH12" s="192" t="s">
        <v>660</v>
      </c>
      <c r="BI12" s="192" t="s">
        <v>660</v>
      </c>
      <c r="BJ12" s="192" t="s">
        <v>660</v>
      </c>
      <c r="BK12" s="192" t="s">
        <v>660</v>
      </c>
      <c r="BL12" s="192" t="s">
        <v>660</v>
      </c>
      <c r="BM12" s="192" t="s">
        <v>660</v>
      </c>
      <c r="BN12" s="192" t="s">
        <v>660</v>
      </c>
      <c r="BO12" s="192" t="s">
        <v>660</v>
      </c>
      <c r="BP12" s="192" t="s">
        <v>660</v>
      </c>
      <c r="BQ12" s="192" t="s">
        <v>660</v>
      </c>
      <c r="BR12" s="192" t="s">
        <v>660</v>
      </c>
      <c r="BS12" s="192" t="s">
        <v>660</v>
      </c>
      <c r="BT12" s="192" t="s">
        <v>660</v>
      </c>
      <c r="BU12" s="192" t="s">
        <v>660</v>
      </c>
      <c r="BV12" s="192" t="s">
        <v>51</v>
      </c>
      <c r="BW12" s="192" t="s">
        <v>660</v>
      </c>
      <c r="BX12" s="192" t="s">
        <v>733</v>
      </c>
      <c r="BY12" s="192" t="s">
        <v>265</v>
      </c>
      <c r="BZ12" s="192" t="s">
        <v>660</v>
      </c>
      <c r="CA12" s="192" t="s">
        <v>264</v>
      </c>
      <c r="CB12" s="192" t="s">
        <v>820</v>
      </c>
      <c r="CC12" s="192" t="s">
        <v>821</v>
      </c>
      <c r="CD12" s="192" t="s">
        <v>668</v>
      </c>
      <c r="CE12" s="192" t="s">
        <v>822</v>
      </c>
      <c r="CF12" s="192" t="s">
        <v>823</v>
      </c>
      <c r="CG12" s="192" t="s">
        <v>668</v>
      </c>
      <c r="CH12" s="192" t="s">
        <v>668</v>
      </c>
      <c r="CI12" s="192" t="s">
        <v>660</v>
      </c>
      <c r="CJ12" s="192" t="s">
        <v>673</v>
      </c>
      <c r="CK12" s="192" t="s">
        <v>717</v>
      </c>
      <c r="CL12" s="192" t="s">
        <v>824</v>
      </c>
      <c r="CM12" s="192" t="s">
        <v>805</v>
      </c>
      <c r="CN12" s="192" t="s">
        <v>825</v>
      </c>
      <c r="CO12" s="192" t="s">
        <v>826</v>
      </c>
      <c r="CP12" s="192" t="s">
        <v>270</v>
      </c>
      <c r="CQ12" s="192" t="s">
        <v>827</v>
      </c>
      <c r="CR12" s="192" t="s">
        <v>828</v>
      </c>
      <c r="CS12" s="192" t="s">
        <v>668</v>
      </c>
      <c r="CT12" s="192" t="s">
        <v>822</v>
      </c>
      <c r="CU12" s="192" t="s">
        <v>829</v>
      </c>
      <c r="CV12" s="192" t="s">
        <v>673</v>
      </c>
      <c r="CW12" s="192" t="s">
        <v>668</v>
      </c>
      <c r="CX12" s="192" t="s">
        <v>660</v>
      </c>
      <c r="CY12" s="192" t="s">
        <v>673</v>
      </c>
      <c r="CZ12" s="192" t="s">
        <v>206</v>
      </c>
      <c r="DA12" s="192" t="s">
        <v>660</v>
      </c>
      <c r="DB12" s="192" t="s">
        <v>830</v>
      </c>
      <c r="DC12" s="192" t="s">
        <v>267</v>
      </c>
      <c r="DD12" s="192" t="s">
        <v>660</v>
      </c>
      <c r="DE12" s="192" t="s">
        <v>242</v>
      </c>
      <c r="DF12" s="192" t="s">
        <v>831</v>
      </c>
      <c r="DG12" s="192" t="s">
        <v>814</v>
      </c>
      <c r="DH12" s="192" t="s">
        <v>668</v>
      </c>
      <c r="DI12" s="192" t="s">
        <v>822</v>
      </c>
      <c r="DJ12" s="192" t="s">
        <v>829</v>
      </c>
      <c r="DK12" s="192" t="s">
        <v>668</v>
      </c>
      <c r="DL12" s="192" t="s">
        <v>668</v>
      </c>
      <c r="DM12" s="192" t="s">
        <v>660</v>
      </c>
      <c r="DN12" s="192" t="s">
        <v>673</v>
      </c>
      <c r="DO12" s="192" t="s">
        <v>206</v>
      </c>
      <c r="DP12" s="192" t="s">
        <v>660</v>
      </c>
      <c r="DQ12" s="192" t="s">
        <v>733</v>
      </c>
      <c r="DR12" s="192" t="s">
        <v>261</v>
      </c>
      <c r="DS12" s="192" t="s">
        <v>660</v>
      </c>
      <c r="DT12" s="192" t="s">
        <v>260</v>
      </c>
      <c r="DU12" s="192" t="s">
        <v>832</v>
      </c>
      <c r="DV12" s="192" t="s">
        <v>832</v>
      </c>
      <c r="DW12" s="192" t="s">
        <v>673</v>
      </c>
      <c r="DX12" s="192" t="s">
        <v>822</v>
      </c>
      <c r="DY12" s="192" t="s">
        <v>829</v>
      </c>
      <c r="DZ12" s="192" t="s">
        <v>660</v>
      </c>
      <c r="EA12" s="192" t="s">
        <v>668</v>
      </c>
      <c r="EB12" s="192" t="s">
        <v>660</v>
      </c>
      <c r="EC12" s="192" t="s">
        <v>668</v>
      </c>
      <c r="ED12" s="192" t="s">
        <v>660</v>
      </c>
      <c r="EE12" s="192" t="s">
        <v>660</v>
      </c>
      <c r="EF12" s="192" t="s">
        <v>660</v>
      </c>
      <c r="EG12" s="192" t="s">
        <v>660</v>
      </c>
      <c r="EH12" s="192" t="s">
        <v>660</v>
      </c>
      <c r="EI12" s="192" t="s">
        <v>660</v>
      </c>
      <c r="EJ12" s="192" t="s">
        <v>660</v>
      </c>
      <c r="EK12" s="192" t="s">
        <v>660</v>
      </c>
      <c r="EL12" s="192" t="s">
        <v>660</v>
      </c>
      <c r="EM12" s="192" t="s">
        <v>660</v>
      </c>
      <c r="EN12" s="192" t="s">
        <v>660</v>
      </c>
      <c r="EO12" s="192" t="s">
        <v>660</v>
      </c>
      <c r="EP12" s="192" t="s">
        <v>660</v>
      </c>
      <c r="EQ12" s="192" t="s">
        <v>660</v>
      </c>
      <c r="ER12" s="192" t="s">
        <v>660</v>
      </c>
      <c r="ES12" s="192" t="s">
        <v>660</v>
      </c>
      <c r="ET12" s="192" t="s">
        <v>660</v>
      </c>
      <c r="EU12" s="192" t="s">
        <v>660</v>
      </c>
      <c r="EV12" s="192" t="s">
        <v>660</v>
      </c>
      <c r="EW12" s="192" t="s">
        <v>660</v>
      </c>
      <c r="EX12" s="192" t="s">
        <v>660</v>
      </c>
      <c r="EY12" s="192" t="s">
        <v>660</v>
      </c>
      <c r="EZ12" s="192" t="s">
        <v>660</v>
      </c>
      <c r="FA12" s="192" t="s">
        <v>660</v>
      </c>
      <c r="FB12" s="192" t="s">
        <v>660</v>
      </c>
      <c r="FC12" s="192" t="s">
        <v>660</v>
      </c>
      <c r="FD12" s="192" t="s">
        <v>660</v>
      </c>
      <c r="FE12" s="192" t="s">
        <v>660</v>
      </c>
      <c r="FF12" s="192" t="s">
        <v>660</v>
      </c>
      <c r="FG12" s="192" t="s">
        <v>660</v>
      </c>
      <c r="FH12" s="192" t="s">
        <v>833</v>
      </c>
      <c r="FI12" s="192" t="s">
        <v>674</v>
      </c>
      <c r="FJ12" s="192" t="s">
        <v>660</v>
      </c>
    </row>
    <row r="13" spans="1:166" ht="375">
      <c r="A13" s="196">
        <v>46125.716643518521</v>
      </c>
      <c r="B13" s="196">
        <v>46125.734965277778</v>
      </c>
      <c r="C13" s="192" t="s">
        <v>507</v>
      </c>
      <c r="D13" s="192" t="s">
        <v>834</v>
      </c>
      <c r="E13">
        <v>100</v>
      </c>
      <c r="F13">
        <v>1582</v>
      </c>
      <c r="G13" s="192" t="s">
        <v>658</v>
      </c>
      <c r="H13" s="196">
        <v>46125.734975486113</v>
      </c>
      <c r="I13" s="192" t="s">
        <v>835</v>
      </c>
      <c r="J13" s="192" t="s">
        <v>660</v>
      </c>
      <c r="K13" s="192" t="s">
        <v>660</v>
      </c>
      <c r="L13" s="192" t="s">
        <v>660</v>
      </c>
      <c r="M13" s="192" t="s">
        <v>660</v>
      </c>
      <c r="N13">
        <v>59.9056</v>
      </c>
      <c r="O13">
        <v>10.7494</v>
      </c>
      <c r="P13" s="192" t="s">
        <v>661</v>
      </c>
      <c r="Q13" s="192" t="s">
        <v>662</v>
      </c>
      <c r="R13" s="192" t="s">
        <v>10</v>
      </c>
      <c r="S13" s="192" t="s">
        <v>836</v>
      </c>
      <c r="T13" s="192" t="s">
        <v>660</v>
      </c>
      <c r="U13" s="192" t="s">
        <v>660</v>
      </c>
      <c r="V13" s="192" t="s">
        <v>660</v>
      </c>
      <c r="W13" s="192" t="s">
        <v>253</v>
      </c>
      <c r="X13" s="192" t="s">
        <v>660</v>
      </c>
      <c r="Y13" s="192" t="s">
        <v>660</v>
      </c>
      <c r="Z13" s="192" t="s">
        <v>246</v>
      </c>
      <c r="AA13" s="192" t="s">
        <v>250</v>
      </c>
      <c r="AB13" s="192" t="s">
        <v>660</v>
      </c>
      <c r="AC13" s="192" t="s">
        <v>660</v>
      </c>
      <c r="AD13" s="192" t="s">
        <v>660</v>
      </c>
      <c r="AE13" s="192" t="s">
        <v>660</v>
      </c>
      <c r="AF13" s="192" t="s">
        <v>660</v>
      </c>
      <c r="AG13" s="192" t="s">
        <v>660</v>
      </c>
      <c r="AH13" s="192" t="s">
        <v>660</v>
      </c>
      <c r="AI13" s="192" t="s">
        <v>660</v>
      </c>
      <c r="AJ13" s="192" t="s">
        <v>660</v>
      </c>
      <c r="AK13" s="192" t="s">
        <v>660</v>
      </c>
      <c r="AL13" s="192" t="s">
        <v>660</v>
      </c>
      <c r="AM13" s="192" t="s">
        <v>660</v>
      </c>
      <c r="AN13" s="192" t="s">
        <v>660</v>
      </c>
      <c r="AO13" s="192" t="s">
        <v>660</v>
      </c>
      <c r="AP13" s="192" t="s">
        <v>660</v>
      </c>
      <c r="AQ13" s="192" t="s">
        <v>660</v>
      </c>
      <c r="AR13" s="192" t="s">
        <v>660</v>
      </c>
      <c r="AS13" s="192" t="s">
        <v>660</v>
      </c>
      <c r="AT13" s="192" t="s">
        <v>660</v>
      </c>
      <c r="AU13" s="192" t="s">
        <v>660</v>
      </c>
      <c r="AV13" s="192" t="s">
        <v>660</v>
      </c>
      <c r="AW13" s="192" t="s">
        <v>660</v>
      </c>
      <c r="AX13" s="192" t="s">
        <v>660</v>
      </c>
      <c r="AY13" s="192" t="s">
        <v>660</v>
      </c>
      <c r="AZ13" s="192" t="s">
        <v>660</v>
      </c>
      <c r="BA13" s="192" t="s">
        <v>660</v>
      </c>
      <c r="BB13" s="192" t="s">
        <v>660</v>
      </c>
      <c r="BC13" s="192" t="s">
        <v>660</v>
      </c>
      <c r="BD13" s="192" t="s">
        <v>660</v>
      </c>
      <c r="BE13" s="192" t="s">
        <v>660</v>
      </c>
      <c r="BF13" s="192" t="s">
        <v>660</v>
      </c>
      <c r="BG13" s="192" t="s">
        <v>660</v>
      </c>
      <c r="BH13" s="192" t="s">
        <v>660</v>
      </c>
      <c r="BI13" s="192" t="s">
        <v>660</v>
      </c>
      <c r="BJ13" s="192" t="s">
        <v>660</v>
      </c>
      <c r="BK13" s="192" t="s">
        <v>660</v>
      </c>
      <c r="BL13" s="192" t="s">
        <v>660</v>
      </c>
      <c r="BM13" s="192" t="s">
        <v>660</v>
      </c>
      <c r="BN13" s="192" t="s">
        <v>660</v>
      </c>
      <c r="BO13" s="192" t="s">
        <v>660</v>
      </c>
      <c r="BP13" s="192" t="s">
        <v>660</v>
      </c>
      <c r="BQ13" s="192" t="s">
        <v>660</v>
      </c>
      <c r="BR13" s="192" t="s">
        <v>660</v>
      </c>
      <c r="BS13" s="192" t="s">
        <v>660</v>
      </c>
      <c r="BT13" s="192" t="s">
        <v>660</v>
      </c>
      <c r="BU13" s="192" t="s">
        <v>660</v>
      </c>
      <c r="BV13" s="192" t="s">
        <v>206</v>
      </c>
      <c r="BW13" s="192" t="s">
        <v>660</v>
      </c>
      <c r="BX13" s="192" t="s">
        <v>733</v>
      </c>
      <c r="BY13" s="192" t="s">
        <v>159</v>
      </c>
      <c r="BZ13" s="192" t="s">
        <v>660</v>
      </c>
      <c r="CA13" s="192" t="s">
        <v>254</v>
      </c>
      <c r="CB13" s="192" t="s">
        <v>687</v>
      </c>
      <c r="CC13" s="192" t="s">
        <v>837</v>
      </c>
      <c r="CD13" s="192" t="s">
        <v>668</v>
      </c>
      <c r="CE13" s="192" t="s">
        <v>838</v>
      </c>
      <c r="CF13" s="192" t="s">
        <v>839</v>
      </c>
      <c r="CG13" s="192" t="s">
        <v>673</v>
      </c>
      <c r="CH13" s="192" t="s">
        <v>673</v>
      </c>
      <c r="CI13" s="192" t="s">
        <v>673</v>
      </c>
      <c r="CJ13" s="192" t="s">
        <v>668</v>
      </c>
      <c r="CK13" s="192" t="s">
        <v>660</v>
      </c>
      <c r="CL13" s="192" t="s">
        <v>660</v>
      </c>
      <c r="CM13" s="192" t="s">
        <v>660</v>
      </c>
      <c r="CN13" s="192" t="s">
        <v>660</v>
      </c>
      <c r="CO13" s="192" t="s">
        <v>660</v>
      </c>
      <c r="CP13" s="192" t="s">
        <v>660</v>
      </c>
      <c r="CQ13" s="192" t="s">
        <v>660</v>
      </c>
      <c r="CR13" s="192" t="s">
        <v>660</v>
      </c>
      <c r="CS13" s="192" t="s">
        <v>660</v>
      </c>
      <c r="CT13" s="192" t="s">
        <v>660</v>
      </c>
      <c r="CU13" s="192" t="s">
        <v>660</v>
      </c>
      <c r="CV13" s="192" t="s">
        <v>660</v>
      </c>
      <c r="CW13" s="192" t="s">
        <v>660</v>
      </c>
      <c r="CX13" s="192" t="s">
        <v>660</v>
      </c>
      <c r="CY13" s="192" t="s">
        <v>660</v>
      </c>
      <c r="CZ13" s="192" t="s">
        <v>660</v>
      </c>
      <c r="DA13" s="192" t="s">
        <v>660</v>
      </c>
      <c r="DB13" s="192" t="s">
        <v>660</v>
      </c>
      <c r="DC13" s="192" t="s">
        <v>660</v>
      </c>
      <c r="DD13" s="192" t="s">
        <v>660</v>
      </c>
      <c r="DE13" s="192" t="s">
        <v>660</v>
      </c>
      <c r="DF13" s="192" t="s">
        <v>660</v>
      </c>
      <c r="DG13" s="192" t="s">
        <v>660</v>
      </c>
      <c r="DH13" s="192" t="s">
        <v>660</v>
      </c>
      <c r="DI13" s="192" t="s">
        <v>660</v>
      </c>
      <c r="DJ13" s="192" t="s">
        <v>660</v>
      </c>
      <c r="DK13" s="192" t="s">
        <v>660</v>
      </c>
      <c r="DL13" s="192" t="s">
        <v>660</v>
      </c>
      <c r="DM13" s="192" t="s">
        <v>660</v>
      </c>
      <c r="DN13" s="192" t="s">
        <v>660</v>
      </c>
      <c r="DO13" s="192" t="s">
        <v>181</v>
      </c>
      <c r="DP13" s="192" t="s">
        <v>840</v>
      </c>
      <c r="DQ13" s="192" t="s">
        <v>805</v>
      </c>
      <c r="DR13" s="192" t="s">
        <v>236</v>
      </c>
      <c r="DS13" s="192" t="s">
        <v>660</v>
      </c>
      <c r="DT13" s="192" t="s">
        <v>248</v>
      </c>
      <c r="DU13" s="192" t="s">
        <v>841</v>
      </c>
      <c r="DV13" s="192" t="s">
        <v>842</v>
      </c>
      <c r="DW13" s="192" t="s">
        <v>673</v>
      </c>
      <c r="DX13" s="192" t="s">
        <v>843</v>
      </c>
      <c r="DY13" s="192" t="s">
        <v>844</v>
      </c>
      <c r="DZ13" s="192" t="s">
        <v>673</v>
      </c>
      <c r="EA13" s="192" t="s">
        <v>673</v>
      </c>
      <c r="EB13" s="192" t="s">
        <v>673</v>
      </c>
      <c r="EC13" s="192" t="s">
        <v>668</v>
      </c>
      <c r="ED13" s="192" t="s">
        <v>141</v>
      </c>
      <c r="EE13" s="192" t="s">
        <v>660</v>
      </c>
      <c r="EF13" s="192" t="s">
        <v>830</v>
      </c>
      <c r="EG13" s="192" t="s">
        <v>135</v>
      </c>
      <c r="EH13" s="192" t="s">
        <v>660</v>
      </c>
      <c r="EI13" s="192" t="s">
        <v>251</v>
      </c>
      <c r="EJ13" s="192" t="s">
        <v>682</v>
      </c>
      <c r="EK13" s="192" t="s">
        <v>845</v>
      </c>
      <c r="EL13" s="192" t="s">
        <v>668</v>
      </c>
      <c r="EM13" s="192" t="s">
        <v>846</v>
      </c>
      <c r="EN13" s="192" t="s">
        <v>847</v>
      </c>
      <c r="EO13" s="192" t="s">
        <v>673</v>
      </c>
      <c r="EP13" s="192" t="s">
        <v>668</v>
      </c>
      <c r="EQ13" s="192" t="s">
        <v>668</v>
      </c>
      <c r="ER13" s="192" t="s">
        <v>668</v>
      </c>
      <c r="ES13" s="192" t="s">
        <v>660</v>
      </c>
      <c r="ET13" s="192" t="s">
        <v>660</v>
      </c>
      <c r="EU13" s="192" t="s">
        <v>660</v>
      </c>
      <c r="EV13" s="192" t="s">
        <v>660</v>
      </c>
      <c r="EW13" s="192" t="s">
        <v>660</v>
      </c>
      <c r="EX13" s="192" t="s">
        <v>660</v>
      </c>
      <c r="EY13" s="192" t="s">
        <v>660</v>
      </c>
      <c r="EZ13" s="192" t="s">
        <v>660</v>
      </c>
      <c r="FA13" s="192" t="s">
        <v>660</v>
      </c>
      <c r="FB13" s="192" t="s">
        <v>660</v>
      </c>
      <c r="FC13" s="192" t="s">
        <v>660</v>
      </c>
      <c r="FD13" s="192" t="s">
        <v>660</v>
      </c>
      <c r="FE13" s="192" t="s">
        <v>660</v>
      </c>
      <c r="FF13" s="192" t="s">
        <v>660</v>
      </c>
      <c r="FG13" s="192" t="s">
        <v>660</v>
      </c>
      <c r="FH13" s="192" t="s">
        <v>848</v>
      </c>
      <c r="FI13" s="192" t="s">
        <v>674</v>
      </c>
      <c r="FJ13" s="192" t="s">
        <v>660</v>
      </c>
    </row>
    <row r="14" spans="1:166" ht="285">
      <c r="A14" s="196">
        <v>46125.69599537037</v>
      </c>
      <c r="B14" s="196">
        <v>46126.418969907405</v>
      </c>
      <c r="C14" s="192" t="s">
        <v>507</v>
      </c>
      <c r="D14" s="192" t="s">
        <v>849</v>
      </c>
      <c r="E14">
        <v>100</v>
      </c>
      <c r="F14">
        <v>62464</v>
      </c>
      <c r="G14" s="192" t="s">
        <v>658</v>
      </c>
      <c r="H14" s="196">
        <v>46126.418981006944</v>
      </c>
      <c r="I14" s="192" t="s">
        <v>850</v>
      </c>
      <c r="J14" s="192" t="s">
        <v>660</v>
      </c>
      <c r="K14" s="192" t="s">
        <v>660</v>
      </c>
      <c r="L14" s="192" t="s">
        <v>660</v>
      </c>
      <c r="M14" s="192" t="s">
        <v>660</v>
      </c>
      <c r="N14">
        <v>50.088299999999997</v>
      </c>
      <c r="O14">
        <v>14.4124</v>
      </c>
      <c r="P14" s="192" t="s">
        <v>661</v>
      </c>
      <c r="Q14" s="192" t="s">
        <v>662</v>
      </c>
      <c r="R14" s="192" t="s">
        <v>7</v>
      </c>
      <c r="S14" s="192" t="s">
        <v>851</v>
      </c>
      <c r="T14" s="192" t="s">
        <v>660</v>
      </c>
      <c r="U14" s="192" t="s">
        <v>660</v>
      </c>
      <c r="V14" s="192" t="s">
        <v>660</v>
      </c>
      <c r="W14" s="192" t="s">
        <v>852</v>
      </c>
      <c r="X14" s="192" t="s">
        <v>660</v>
      </c>
      <c r="Y14" s="192" t="s">
        <v>660</v>
      </c>
      <c r="Z14" s="192" t="s">
        <v>197</v>
      </c>
      <c r="AA14" s="192" t="s">
        <v>660</v>
      </c>
      <c r="AB14" s="192" t="s">
        <v>660</v>
      </c>
      <c r="AC14" s="192" t="s">
        <v>660</v>
      </c>
      <c r="AD14" s="192" t="s">
        <v>660</v>
      </c>
      <c r="AE14" s="192" t="s">
        <v>660</v>
      </c>
      <c r="AF14" s="192" t="s">
        <v>660</v>
      </c>
      <c r="AG14" s="192" t="s">
        <v>660</v>
      </c>
      <c r="AH14" s="192" t="s">
        <v>660</v>
      </c>
      <c r="AI14" s="192" t="s">
        <v>660</v>
      </c>
      <c r="AJ14" s="192" t="s">
        <v>660</v>
      </c>
      <c r="AK14" s="192" t="s">
        <v>660</v>
      </c>
      <c r="AL14" s="192" t="s">
        <v>660</v>
      </c>
      <c r="AM14" s="192" t="s">
        <v>660</v>
      </c>
      <c r="AN14" s="192" t="s">
        <v>660</v>
      </c>
      <c r="AO14" s="192" t="s">
        <v>660</v>
      </c>
      <c r="AP14" s="192" t="s">
        <v>660</v>
      </c>
      <c r="AQ14" s="192" t="s">
        <v>660</v>
      </c>
      <c r="AR14" s="192" t="s">
        <v>660</v>
      </c>
      <c r="AS14" s="192" t="s">
        <v>660</v>
      </c>
      <c r="AT14" s="192" t="s">
        <v>660</v>
      </c>
      <c r="AU14" s="192" t="s">
        <v>660</v>
      </c>
      <c r="AV14" s="192" t="s">
        <v>660</v>
      </c>
      <c r="AW14" s="192" t="s">
        <v>660</v>
      </c>
      <c r="AX14" s="192" t="s">
        <v>660</v>
      </c>
      <c r="AY14" s="192" t="s">
        <v>660</v>
      </c>
      <c r="AZ14" s="192" t="s">
        <v>660</v>
      </c>
      <c r="BA14" s="192" t="s">
        <v>660</v>
      </c>
      <c r="BB14" s="192" t="s">
        <v>660</v>
      </c>
      <c r="BC14" s="192" t="s">
        <v>660</v>
      </c>
      <c r="BD14" s="192" t="s">
        <v>660</v>
      </c>
      <c r="BE14" s="192" t="s">
        <v>660</v>
      </c>
      <c r="BF14" s="192" t="s">
        <v>660</v>
      </c>
      <c r="BG14" s="192" t="s">
        <v>660</v>
      </c>
      <c r="BH14" s="192" t="s">
        <v>660</v>
      </c>
      <c r="BI14" s="192" t="s">
        <v>660</v>
      </c>
      <c r="BJ14" s="192" t="s">
        <v>660</v>
      </c>
      <c r="BK14" s="192" t="s">
        <v>660</v>
      </c>
      <c r="BL14" s="192" t="s">
        <v>660</v>
      </c>
      <c r="BM14" s="192" t="s">
        <v>660</v>
      </c>
      <c r="BN14" s="192" t="s">
        <v>660</v>
      </c>
      <c r="BO14" s="192" t="s">
        <v>660</v>
      </c>
      <c r="BP14" s="192" t="s">
        <v>660</v>
      </c>
      <c r="BQ14" s="192" t="s">
        <v>660</v>
      </c>
      <c r="BR14" s="192" t="s">
        <v>660</v>
      </c>
      <c r="BS14" s="192" t="s">
        <v>660</v>
      </c>
      <c r="BT14" s="192" t="s">
        <v>660</v>
      </c>
      <c r="BU14" s="192" t="s">
        <v>660</v>
      </c>
      <c r="BV14" s="192" t="s">
        <v>138</v>
      </c>
      <c r="BW14" s="192" t="s">
        <v>660</v>
      </c>
      <c r="BX14" s="192" t="s">
        <v>686</v>
      </c>
      <c r="BY14" s="192" t="s">
        <v>147</v>
      </c>
      <c r="BZ14" s="192" t="s">
        <v>660</v>
      </c>
      <c r="CA14" s="192" t="s">
        <v>201</v>
      </c>
      <c r="CB14" s="192" t="s">
        <v>853</v>
      </c>
      <c r="CC14" s="192" t="s">
        <v>854</v>
      </c>
      <c r="CD14" s="192" t="s">
        <v>673</v>
      </c>
      <c r="CE14" s="192" t="s">
        <v>855</v>
      </c>
      <c r="CF14" s="192" t="s">
        <v>856</v>
      </c>
      <c r="CG14" s="192" t="s">
        <v>668</v>
      </c>
      <c r="CH14" s="192" t="s">
        <v>668</v>
      </c>
      <c r="CI14" s="192" t="s">
        <v>668</v>
      </c>
      <c r="CJ14" s="192" t="s">
        <v>668</v>
      </c>
      <c r="CK14" s="192" t="s">
        <v>660</v>
      </c>
      <c r="CL14" s="192" t="s">
        <v>660</v>
      </c>
      <c r="CM14" s="192" t="s">
        <v>660</v>
      </c>
      <c r="CN14" s="192" t="s">
        <v>660</v>
      </c>
      <c r="CO14" s="192" t="s">
        <v>660</v>
      </c>
      <c r="CP14" s="192" t="s">
        <v>660</v>
      </c>
      <c r="CQ14" s="192" t="s">
        <v>660</v>
      </c>
      <c r="CR14" s="192" t="s">
        <v>660</v>
      </c>
      <c r="CS14" s="192" t="s">
        <v>660</v>
      </c>
      <c r="CT14" s="192" t="s">
        <v>660</v>
      </c>
      <c r="CU14" s="192" t="s">
        <v>660</v>
      </c>
      <c r="CV14" s="192" t="s">
        <v>660</v>
      </c>
      <c r="CW14" s="192" t="s">
        <v>660</v>
      </c>
      <c r="CX14" s="192" t="s">
        <v>660</v>
      </c>
      <c r="CY14" s="192" t="s">
        <v>660</v>
      </c>
      <c r="CZ14" s="192" t="s">
        <v>660</v>
      </c>
      <c r="DA14" s="192" t="s">
        <v>660</v>
      </c>
      <c r="DB14" s="192" t="s">
        <v>660</v>
      </c>
      <c r="DC14" s="192" t="s">
        <v>660</v>
      </c>
      <c r="DD14" s="192" t="s">
        <v>660</v>
      </c>
      <c r="DE14" s="192" t="s">
        <v>660</v>
      </c>
      <c r="DF14" s="192" t="s">
        <v>660</v>
      </c>
      <c r="DG14" s="192" t="s">
        <v>660</v>
      </c>
      <c r="DH14" s="192" t="s">
        <v>660</v>
      </c>
      <c r="DI14" s="192" t="s">
        <v>660</v>
      </c>
      <c r="DJ14" s="192" t="s">
        <v>660</v>
      </c>
      <c r="DK14" s="192" t="s">
        <v>660</v>
      </c>
      <c r="DL14" s="192" t="s">
        <v>660</v>
      </c>
      <c r="DM14" s="192" t="s">
        <v>660</v>
      </c>
      <c r="DN14" s="192" t="s">
        <v>660</v>
      </c>
      <c r="DO14" s="192" t="s">
        <v>138</v>
      </c>
      <c r="DP14" s="192" t="s">
        <v>660</v>
      </c>
      <c r="DQ14" s="192" t="s">
        <v>686</v>
      </c>
      <c r="DR14" s="192" t="s">
        <v>147</v>
      </c>
      <c r="DS14" s="192" t="s">
        <v>660</v>
      </c>
      <c r="DT14" s="192" t="s">
        <v>198</v>
      </c>
      <c r="DU14" s="192" t="s">
        <v>743</v>
      </c>
      <c r="DV14" s="192" t="s">
        <v>854</v>
      </c>
      <c r="DW14" s="192" t="s">
        <v>673</v>
      </c>
      <c r="DX14" s="192" t="s">
        <v>857</v>
      </c>
      <c r="DY14" s="192" t="s">
        <v>858</v>
      </c>
      <c r="DZ14" s="192" t="s">
        <v>673</v>
      </c>
      <c r="EA14" s="192" t="s">
        <v>673</v>
      </c>
      <c r="EB14" s="192" t="s">
        <v>668</v>
      </c>
      <c r="EC14" s="192" t="s">
        <v>673</v>
      </c>
      <c r="ED14" s="192" t="s">
        <v>660</v>
      </c>
      <c r="EE14" s="192" t="s">
        <v>660</v>
      </c>
      <c r="EF14" s="192" t="s">
        <v>660</v>
      </c>
      <c r="EG14" s="192" t="s">
        <v>660</v>
      </c>
      <c r="EH14" s="192" t="s">
        <v>660</v>
      </c>
      <c r="EI14" s="192" t="s">
        <v>660</v>
      </c>
      <c r="EJ14" s="192" t="s">
        <v>660</v>
      </c>
      <c r="EK14" s="192" t="s">
        <v>660</v>
      </c>
      <c r="EL14" s="192" t="s">
        <v>660</v>
      </c>
      <c r="EM14" s="192" t="s">
        <v>660</v>
      </c>
      <c r="EN14" s="192" t="s">
        <v>660</v>
      </c>
      <c r="EO14" s="192" t="s">
        <v>660</v>
      </c>
      <c r="EP14" s="192" t="s">
        <v>660</v>
      </c>
      <c r="EQ14" s="192" t="s">
        <v>660</v>
      </c>
      <c r="ER14" s="192" t="s">
        <v>660</v>
      </c>
      <c r="ES14" s="192" t="s">
        <v>660</v>
      </c>
      <c r="ET14" s="192" t="s">
        <v>660</v>
      </c>
      <c r="EU14" s="192" t="s">
        <v>660</v>
      </c>
      <c r="EV14" s="192" t="s">
        <v>660</v>
      </c>
      <c r="EW14" s="192" t="s">
        <v>660</v>
      </c>
      <c r="EX14" s="192" t="s">
        <v>660</v>
      </c>
      <c r="EY14" s="192" t="s">
        <v>660</v>
      </c>
      <c r="EZ14" s="192" t="s">
        <v>660</v>
      </c>
      <c r="FA14" s="192" t="s">
        <v>660</v>
      </c>
      <c r="FB14" s="192" t="s">
        <v>660</v>
      </c>
      <c r="FC14" s="192" t="s">
        <v>660</v>
      </c>
      <c r="FD14" s="192" t="s">
        <v>660</v>
      </c>
      <c r="FE14" s="192" t="s">
        <v>660</v>
      </c>
      <c r="FF14" s="192" t="s">
        <v>660</v>
      </c>
      <c r="FG14" s="192" t="s">
        <v>660</v>
      </c>
      <c r="FH14" s="192" t="s">
        <v>660</v>
      </c>
      <c r="FI14" s="192" t="s">
        <v>674</v>
      </c>
      <c r="FJ14" s="192" t="s">
        <v>660</v>
      </c>
    </row>
    <row r="15" spans="1:166" ht="195">
      <c r="A15" s="196">
        <v>46126.416226851848</v>
      </c>
      <c r="B15" s="196">
        <v>46126.425115740742</v>
      </c>
      <c r="C15" s="192" t="s">
        <v>507</v>
      </c>
      <c r="D15" s="192" t="s">
        <v>859</v>
      </c>
      <c r="E15">
        <v>100</v>
      </c>
      <c r="F15">
        <v>768</v>
      </c>
      <c r="G15" s="192" t="s">
        <v>658</v>
      </c>
      <c r="H15" s="196">
        <v>46126.425134780089</v>
      </c>
      <c r="I15" s="192" t="s">
        <v>860</v>
      </c>
      <c r="J15" s="192" t="s">
        <v>660</v>
      </c>
      <c r="K15" s="192" t="s">
        <v>660</v>
      </c>
      <c r="L15" s="192" t="s">
        <v>660</v>
      </c>
      <c r="M15" s="192" t="s">
        <v>660</v>
      </c>
      <c r="N15">
        <v>25.053000000000001</v>
      </c>
      <c r="O15">
        <v>121.52589999999999</v>
      </c>
      <c r="P15" s="192" t="s">
        <v>661</v>
      </c>
      <c r="Q15" s="192" t="s">
        <v>662</v>
      </c>
      <c r="R15" s="192" t="s">
        <v>13</v>
      </c>
      <c r="S15" s="192" t="s">
        <v>799</v>
      </c>
      <c r="T15" s="192" t="s">
        <v>293</v>
      </c>
      <c r="U15" s="192" t="s">
        <v>660</v>
      </c>
      <c r="V15" s="192" t="s">
        <v>660</v>
      </c>
      <c r="W15" s="192" t="s">
        <v>293</v>
      </c>
      <c r="X15" s="192" t="s">
        <v>660</v>
      </c>
      <c r="Y15" s="192" t="s">
        <v>660</v>
      </c>
      <c r="Z15" s="192" t="s">
        <v>293</v>
      </c>
      <c r="AA15" s="192" t="s">
        <v>660</v>
      </c>
      <c r="AB15" s="192" t="s">
        <v>660</v>
      </c>
      <c r="AC15" s="192" t="s">
        <v>294</v>
      </c>
      <c r="AD15" s="192" t="s">
        <v>861</v>
      </c>
      <c r="AE15" s="192" t="s">
        <v>679</v>
      </c>
      <c r="AF15" s="192" t="s">
        <v>296</v>
      </c>
      <c r="AG15" s="192" t="s">
        <v>660</v>
      </c>
      <c r="AH15" s="192" t="s">
        <v>862</v>
      </c>
      <c r="AI15" s="192" t="s">
        <v>863</v>
      </c>
      <c r="AJ15" s="192" t="s">
        <v>864</v>
      </c>
      <c r="AK15" s="192" t="s">
        <v>668</v>
      </c>
      <c r="AL15" s="192" t="s">
        <v>865</v>
      </c>
      <c r="AM15" s="192" t="s">
        <v>866</v>
      </c>
      <c r="AN15" s="192" t="s">
        <v>668</v>
      </c>
      <c r="AO15" s="192" t="s">
        <v>668</v>
      </c>
      <c r="AP15" s="192" t="s">
        <v>668</v>
      </c>
      <c r="AQ15" s="192" t="s">
        <v>668</v>
      </c>
      <c r="AR15" s="192" t="s">
        <v>660</v>
      </c>
      <c r="AS15" s="192" t="s">
        <v>660</v>
      </c>
      <c r="AT15" s="192" t="s">
        <v>660</v>
      </c>
      <c r="AU15" s="192" t="s">
        <v>660</v>
      </c>
      <c r="AV15" s="192" t="s">
        <v>660</v>
      </c>
      <c r="AW15" s="192" t="s">
        <v>660</v>
      </c>
      <c r="AX15" s="192" t="s">
        <v>660</v>
      </c>
      <c r="AY15" s="192" t="s">
        <v>660</v>
      </c>
      <c r="AZ15" s="192" t="s">
        <v>660</v>
      </c>
      <c r="BA15" s="192" t="s">
        <v>660</v>
      </c>
      <c r="BB15" s="192" t="s">
        <v>660</v>
      </c>
      <c r="BC15" s="192" t="s">
        <v>660</v>
      </c>
      <c r="BD15" s="192" t="s">
        <v>660</v>
      </c>
      <c r="BE15" s="192" t="s">
        <v>660</v>
      </c>
      <c r="BF15" s="192" t="s">
        <v>660</v>
      </c>
      <c r="BG15" s="192" t="s">
        <v>660</v>
      </c>
      <c r="BH15" s="192" t="s">
        <v>660</v>
      </c>
      <c r="BI15" s="192" t="s">
        <v>660</v>
      </c>
      <c r="BJ15" s="192" t="s">
        <v>660</v>
      </c>
      <c r="BK15" s="192" t="s">
        <v>660</v>
      </c>
      <c r="BL15" s="192" t="s">
        <v>660</v>
      </c>
      <c r="BM15" s="192" t="s">
        <v>660</v>
      </c>
      <c r="BN15" s="192" t="s">
        <v>660</v>
      </c>
      <c r="BO15" s="192" t="s">
        <v>660</v>
      </c>
      <c r="BP15" s="192" t="s">
        <v>660</v>
      </c>
      <c r="BQ15" s="192" t="s">
        <v>660</v>
      </c>
      <c r="BR15" s="192" t="s">
        <v>660</v>
      </c>
      <c r="BS15" s="192" t="s">
        <v>660</v>
      </c>
      <c r="BT15" s="192" t="s">
        <v>660</v>
      </c>
      <c r="BU15" s="192" t="s">
        <v>660</v>
      </c>
      <c r="BV15" s="192" t="s">
        <v>294</v>
      </c>
      <c r="BW15" s="192" t="s">
        <v>861</v>
      </c>
      <c r="BX15" s="192" t="s">
        <v>679</v>
      </c>
      <c r="BY15" s="192" t="s">
        <v>171</v>
      </c>
      <c r="BZ15" s="192" t="s">
        <v>660</v>
      </c>
      <c r="CA15" s="192" t="s">
        <v>862</v>
      </c>
      <c r="CB15" s="192" t="s">
        <v>687</v>
      </c>
      <c r="CC15" s="192" t="s">
        <v>688</v>
      </c>
      <c r="CD15" s="192" t="s">
        <v>668</v>
      </c>
      <c r="CE15" s="192" t="s">
        <v>867</v>
      </c>
      <c r="CF15" s="192" t="s">
        <v>868</v>
      </c>
      <c r="CG15" s="192" t="s">
        <v>668</v>
      </c>
      <c r="CH15" s="192" t="s">
        <v>668</v>
      </c>
      <c r="CI15" s="192" t="s">
        <v>668</v>
      </c>
      <c r="CJ15" s="192" t="s">
        <v>668</v>
      </c>
      <c r="CK15" s="192" t="s">
        <v>660</v>
      </c>
      <c r="CL15" s="192" t="s">
        <v>660</v>
      </c>
      <c r="CM15" s="192" t="s">
        <v>660</v>
      </c>
      <c r="CN15" s="192" t="s">
        <v>660</v>
      </c>
      <c r="CO15" s="192" t="s">
        <v>660</v>
      </c>
      <c r="CP15" s="192" t="s">
        <v>660</v>
      </c>
      <c r="CQ15" s="192" t="s">
        <v>660</v>
      </c>
      <c r="CR15" s="192" t="s">
        <v>660</v>
      </c>
      <c r="CS15" s="192" t="s">
        <v>660</v>
      </c>
      <c r="CT15" s="192" t="s">
        <v>660</v>
      </c>
      <c r="CU15" s="192" t="s">
        <v>660</v>
      </c>
      <c r="CV15" s="192" t="s">
        <v>660</v>
      </c>
      <c r="CW15" s="192" t="s">
        <v>660</v>
      </c>
      <c r="CX15" s="192" t="s">
        <v>660</v>
      </c>
      <c r="CY15" s="192" t="s">
        <v>660</v>
      </c>
      <c r="CZ15" s="192" t="s">
        <v>660</v>
      </c>
      <c r="DA15" s="192" t="s">
        <v>660</v>
      </c>
      <c r="DB15" s="192" t="s">
        <v>660</v>
      </c>
      <c r="DC15" s="192" t="s">
        <v>660</v>
      </c>
      <c r="DD15" s="192" t="s">
        <v>660</v>
      </c>
      <c r="DE15" s="192" t="s">
        <v>660</v>
      </c>
      <c r="DF15" s="192" t="s">
        <v>660</v>
      </c>
      <c r="DG15" s="192" t="s">
        <v>660</v>
      </c>
      <c r="DH15" s="192" t="s">
        <v>660</v>
      </c>
      <c r="DI15" s="192" t="s">
        <v>660</v>
      </c>
      <c r="DJ15" s="192" t="s">
        <v>660</v>
      </c>
      <c r="DK15" s="192" t="s">
        <v>660</v>
      </c>
      <c r="DL15" s="192" t="s">
        <v>660</v>
      </c>
      <c r="DM15" s="192" t="s">
        <v>660</v>
      </c>
      <c r="DN15" s="192" t="s">
        <v>660</v>
      </c>
      <c r="DO15" s="192" t="s">
        <v>294</v>
      </c>
      <c r="DP15" s="192" t="s">
        <v>869</v>
      </c>
      <c r="DQ15" s="192" t="s">
        <v>679</v>
      </c>
      <c r="DR15" s="192" t="s">
        <v>171</v>
      </c>
      <c r="DS15" s="192" t="s">
        <v>660</v>
      </c>
      <c r="DT15" s="192" t="s">
        <v>870</v>
      </c>
      <c r="DU15" s="192" t="s">
        <v>687</v>
      </c>
      <c r="DV15" s="192" t="s">
        <v>688</v>
      </c>
      <c r="DW15" s="192" t="s">
        <v>668</v>
      </c>
      <c r="DX15" s="192" t="s">
        <v>867</v>
      </c>
      <c r="DY15" s="192" t="s">
        <v>868</v>
      </c>
      <c r="DZ15" s="192" t="s">
        <v>668</v>
      </c>
      <c r="EA15" s="192" t="s">
        <v>668</v>
      </c>
      <c r="EB15" s="192" t="s">
        <v>668</v>
      </c>
      <c r="EC15" s="192" t="s">
        <v>668</v>
      </c>
      <c r="ED15" s="192" t="s">
        <v>660</v>
      </c>
      <c r="EE15" s="192" t="s">
        <v>660</v>
      </c>
      <c r="EF15" s="192" t="s">
        <v>660</v>
      </c>
      <c r="EG15" s="192" t="s">
        <v>660</v>
      </c>
      <c r="EH15" s="192" t="s">
        <v>660</v>
      </c>
      <c r="EI15" s="192" t="s">
        <v>660</v>
      </c>
      <c r="EJ15" s="192" t="s">
        <v>660</v>
      </c>
      <c r="EK15" s="192" t="s">
        <v>660</v>
      </c>
      <c r="EL15" s="192" t="s">
        <v>660</v>
      </c>
      <c r="EM15" s="192" t="s">
        <v>660</v>
      </c>
      <c r="EN15" s="192" t="s">
        <v>660</v>
      </c>
      <c r="EO15" s="192" t="s">
        <v>660</v>
      </c>
      <c r="EP15" s="192" t="s">
        <v>660</v>
      </c>
      <c r="EQ15" s="192" t="s">
        <v>660</v>
      </c>
      <c r="ER15" s="192" t="s">
        <v>660</v>
      </c>
      <c r="ES15" s="192" t="s">
        <v>660</v>
      </c>
      <c r="ET15" s="192" t="s">
        <v>660</v>
      </c>
      <c r="EU15" s="192" t="s">
        <v>660</v>
      </c>
      <c r="EV15" s="192" t="s">
        <v>660</v>
      </c>
      <c r="EW15" s="192" t="s">
        <v>660</v>
      </c>
      <c r="EX15" s="192" t="s">
        <v>660</v>
      </c>
      <c r="EY15" s="192" t="s">
        <v>660</v>
      </c>
      <c r="EZ15" s="192" t="s">
        <v>660</v>
      </c>
      <c r="FA15" s="192" t="s">
        <v>660</v>
      </c>
      <c r="FB15" s="192" t="s">
        <v>660</v>
      </c>
      <c r="FC15" s="192" t="s">
        <v>660</v>
      </c>
      <c r="FD15" s="192" t="s">
        <v>660</v>
      </c>
      <c r="FE15" s="192" t="s">
        <v>660</v>
      </c>
      <c r="FF15" s="192" t="s">
        <v>660</v>
      </c>
      <c r="FG15" s="192" t="s">
        <v>660</v>
      </c>
      <c r="FH15" s="192" t="s">
        <v>660</v>
      </c>
      <c r="FI15" s="192" t="s">
        <v>674</v>
      </c>
      <c r="FJ15" s="192" t="s">
        <v>660</v>
      </c>
    </row>
    <row r="16" spans="1:166" ht="240">
      <c r="A16" s="196">
        <v>46119.428761574076</v>
      </c>
      <c r="B16" s="196">
        <v>46119.430127314816</v>
      </c>
      <c r="C16" s="192" t="s">
        <v>507</v>
      </c>
      <c r="D16" s="192" t="s">
        <v>871</v>
      </c>
      <c r="E16">
        <v>3</v>
      </c>
      <c r="F16">
        <v>117</v>
      </c>
      <c r="G16" s="192" t="s">
        <v>872</v>
      </c>
      <c r="H16" s="196">
        <v>46126.430167789353</v>
      </c>
      <c r="I16" s="192" t="s">
        <v>873</v>
      </c>
      <c r="J16" s="192" t="s">
        <v>660</v>
      </c>
      <c r="K16" s="192" t="s">
        <v>660</v>
      </c>
      <c r="L16" s="192" t="s">
        <v>660</v>
      </c>
      <c r="M16" s="192" t="s">
        <v>660</v>
      </c>
      <c r="N16">
        <v>50.116900000000001</v>
      </c>
      <c r="O16">
        <v>8.6837</v>
      </c>
      <c r="P16" s="192" t="s">
        <v>661</v>
      </c>
      <c r="Q16" s="192" t="s">
        <v>662</v>
      </c>
      <c r="R16" s="192" t="s">
        <v>5</v>
      </c>
      <c r="S16" s="192" t="s">
        <v>874</v>
      </c>
      <c r="T16" s="192" t="s">
        <v>875</v>
      </c>
      <c r="U16" s="192" t="s">
        <v>875</v>
      </c>
      <c r="V16" s="192" t="s">
        <v>875</v>
      </c>
      <c r="W16" s="192" t="s">
        <v>660</v>
      </c>
      <c r="X16" s="192" t="s">
        <v>660</v>
      </c>
      <c r="Y16" s="192" t="s">
        <v>660</v>
      </c>
      <c r="Z16" s="192" t="s">
        <v>876</v>
      </c>
      <c r="AA16" s="192" t="s">
        <v>660</v>
      </c>
      <c r="AB16" s="192" t="s">
        <v>660</v>
      </c>
      <c r="AC16" s="192" t="s">
        <v>660</v>
      </c>
      <c r="AD16" s="192" t="s">
        <v>660</v>
      </c>
      <c r="AE16" s="192" t="s">
        <v>660</v>
      </c>
      <c r="AF16" s="192" t="s">
        <v>660</v>
      </c>
      <c r="AG16" s="192" t="s">
        <v>660</v>
      </c>
      <c r="AH16" s="192" t="s">
        <v>660</v>
      </c>
      <c r="AI16" s="192" t="s">
        <v>660</v>
      </c>
      <c r="AJ16" s="192" t="s">
        <v>660</v>
      </c>
      <c r="AK16" s="192" t="s">
        <v>660</v>
      </c>
      <c r="AL16" s="192" t="s">
        <v>660</v>
      </c>
      <c r="AM16" s="192" t="s">
        <v>660</v>
      </c>
      <c r="AN16" s="192" t="s">
        <v>660</v>
      </c>
      <c r="AO16" s="192" t="s">
        <v>660</v>
      </c>
      <c r="AP16" s="192" t="s">
        <v>660</v>
      </c>
      <c r="AQ16" s="192" t="s">
        <v>660</v>
      </c>
      <c r="AR16" s="192" t="s">
        <v>660</v>
      </c>
      <c r="AS16" s="192" t="s">
        <v>660</v>
      </c>
      <c r="AT16" s="192" t="s">
        <v>660</v>
      </c>
      <c r="AU16" s="192" t="s">
        <v>660</v>
      </c>
      <c r="AV16" s="192" t="s">
        <v>660</v>
      </c>
      <c r="AW16" s="192" t="s">
        <v>660</v>
      </c>
      <c r="AX16" s="192" t="s">
        <v>660</v>
      </c>
      <c r="AY16" s="192" t="s">
        <v>660</v>
      </c>
      <c r="AZ16" s="192" t="s">
        <v>660</v>
      </c>
      <c r="BA16" s="192" t="s">
        <v>660</v>
      </c>
      <c r="BB16" s="192" t="s">
        <v>660</v>
      </c>
      <c r="BC16" s="192" t="s">
        <v>660</v>
      </c>
      <c r="BD16" s="192" t="s">
        <v>660</v>
      </c>
      <c r="BE16" s="192" t="s">
        <v>660</v>
      </c>
      <c r="BF16" s="192" t="s">
        <v>660</v>
      </c>
      <c r="BG16" s="192" t="s">
        <v>660</v>
      </c>
      <c r="BH16" s="192" t="s">
        <v>660</v>
      </c>
      <c r="BI16" s="192" t="s">
        <v>660</v>
      </c>
      <c r="BJ16" s="192" t="s">
        <v>660</v>
      </c>
      <c r="BK16" s="192" t="s">
        <v>660</v>
      </c>
      <c r="BL16" s="192" t="s">
        <v>660</v>
      </c>
      <c r="BM16" s="192" t="s">
        <v>660</v>
      </c>
      <c r="BN16" s="192" t="s">
        <v>660</v>
      </c>
      <c r="BO16" s="192" t="s">
        <v>660</v>
      </c>
      <c r="BP16" s="192" t="s">
        <v>660</v>
      </c>
      <c r="BQ16" s="192" t="s">
        <v>660</v>
      </c>
      <c r="BR16" s="192" t="s">
        <v>660</v>
      </c>
      <c r="BS16" s="192" t="s">
        <v>660</v>
      </c>
      <c r="BT16" s="192" t="s">
        <v>660</v>
      </c>
      <c r="BU16" s="192" t="s">
        <v>660</v>
      </c>
      <c r="BV16" s="192" t="s">
        <v>660</v>
      </c>
      <c r="BW16" s="192" t="s">
        <v>660</v>
      </c>
      <c r="BX16" s="192" t="s">
        <v>660</v>
      </c>
      <c r="BY16" s="192" t="s">
        <v>660</v>
      </c>
      <c r="BZ16" s="192" t="s">
        <v>660</v>
      </c>
      <c r="CA16" s="192" t="s">
        <v>660</v>
      </c>
      <c r="CB16" s="192" t="s">
        <v>660</v>
      </c>
      <c r="CC16" s="192" t="s">
        <v>660</v>
      </c>
      <c r="CD16" s="192" t="s">
        <v>660</v>
      </c>
      <c r="CE16" s="192" t="s">
        <v>660</v>
      </c>
      <c r="CF16" s="192" t="s">
        <v>660</v>
      </c>
      <c r="CG16" s="192" t="s">
        <v>660</v>
      </c>
      <c r="CH16" s="192" t="s">
        <v>660</v>
      </c>
      <c r="CI16" s="192" t="s">
        <v>660</v>
      </c>
      <c r="CJ16" s="192" t="s">
        <v>660</v>
      </c>
      <c r="CK16" s="192" t="s">
        <v>660</v>
      </c>
      <c r="CL16" s="192" t="s">
        <v>660</v>
      </c>
      <c r="CM16" s="192" t="s">
        <v>660</v>
      </c>
      <c r="CN16" s="192" t="s">
        <v>660</v>
      </c>
      <c r="CO16" s="192" t="s">
        <v>660</v>
      </c>
      <c r="CP16" s="192" t="s">
        <v>660</v>
      </c>
      <c r="CQ16" s="192" t="s">
        <v>660</v>
      </c>
      <c r="CR16" s="192" t="s">
        <v>660</v>
      </c>
      <c r="CS16" s="192" t="s">
        <v>660</v>
      </c>
      <c r="CT16" s="192" t="s">
        <v>660</v>
      </c>
      <c r="CU16" s="192" t="s">
        <v>660</v>
      </c>
      <c r="CV16" s="192" t="s">
        <v>660</v>
      </c>
      <c r="CW16" s="192" t="s">
        <v>660</v>
      </c>
      <c r="CX16" s="192" t="s">
        <v>660</v>
      </c>
      <c r="CY16" s="192" t="s">
        <v>660</v>
      </c>
      <c r="CZ16" s="192" t="s">
        <v>660</v>
      </c>
      <c r="DA16" s="192" t="s">
        <v>660</v>
      </c>
      <c r="DB16" s="192" t="s">
        <v>660</v>
      </c>
      <c r="DC16" s="192" t="s">
        <v>660</v>
      </c>
      <c r="DD16" s="192" t="s">
        <v>660</v>
      </c>
      <c r="DE16" s="192" t="s">
        <v>660</v>
      </c>
      <c r="DF16" s="192" t="s">
        <v>660</v>
      </c>
      <c r="DG16" s="192" t="s">
        <v>660</v>
      </c>
      <c r="DH16" s="192" t="s">
        <v>660</v>
      </c>
      <c r="DI16" s="192" t="s">
        <v>660</v>
      </c>
      <c r="DJ16" s="192" t="s">
        <v>660</v>
      </c>
      <c r="DK16" s="192" t="s">
        <v>660</v>
      </c>
      <c r="DL16" s="192" t="s">
        <v>660</v>
      </c>
      <c r="DM16" s="192" t="s">
        <v>660</v>
      </c>
      <c r="DN16" s="192" t="s">
        <v>660</v>
      </c>
      <c r="DO16" s="192" t="s">
        <v>660</v>
      </c>
      <c r="DP16" s="192" t="s">
        <v>660</v>
      </c>
      <c r="DQ16" s="192" t="s">
        <v>660</v>
      </c>
      <c r="DR16" s="192" t="s">
        <v>660</v>
      </c>
      <c r="DS16" s="192" t="s">
        <v>660</v>
      </c>
      <c r="DT16" s="192" t="s">
        <v>660</v>
      </c>
      <c r="DU16" s="192" t="s">
        <v>660</v>
      </c>
      <c r="DV16" s="192" t="s">
        <v>660</v>
      </c>
      <c r="DW16" s="192" t="s">
        <v>660</v>
      </c>
      <c r="DX16" s="192" t="s">
        <v>660</v>
      </c>
      <c r="DY16" s="192" t="s">
        <v>660</v>
      </c>
      <c r="DZ16" s="192" t="s">
        <v>660</v>
      </c>
      <c r="EA16" s="192" t="s">
        <v>660</v>
      </c>
      <c r="EB16" s="192" t="s">
        <v>660</v>
      </c>
      <c r="EC16" s="192" t="s">
        <v>660</v>
      </c>
      <c r="ED16" s="192" t="s">
        <v>660</v>
      </c>
      <c r="EE16" s="192" t="s">
        <v>660</v>
      </c>
      <c r="EF16" s="192" t="s">
        <v>660</v>
      </c>
      <c r="EG16" s="192" t="s">
        <v>660</v>
      </c>
      <c r="EH16" s="192" t="s">
        <v>660</v>
      </c>
      <c r="EI16" s="192" t="s">
        <v>660</v>
      </c>
      <c r="EJ16" s="192" t="s">
        <v>660</v>
      </c>
      <c r="EK16" s="192" t="s">
        <v>660</v>
      </c>
      <c r="EL16" s="192" t="s">
        <v>660</v>
      </c>
      <c r="EM16" s="192" t="s">
        <v>660</v>
      </c>
      <c r="EN16" s="192" t="s">
        <v>660</v>
      </c>
      <c r="EO16" s="192" t="s">
        <v>660</v>
      </c>
      <c r="EP16" s="192" t="s">
        <v>660</v>
      </c>
      <c r="EQ16" s="192" t="s">
        <v>660</v>
      </c>
      <c r="ER16" s="192" t="s">
        <v>660</v>
      </c>
      <c r="ES16" s="192" t="s">
        <v>660</v>
      </c>
      <c r="ET16" s="192" t="s">
        <v>660</v>
      </c>
      <c r="EU16" s="192" t="s">
        <v>660</v>
      </c>
      <c r="EV16" s="192" t="s">
        <v>660</v>
      </c>
      <c r="EW16" s="192" t="s">
        <v>660</v>
      </c>
      <c r="EX16" s="192" t="s">
        <v>660</v>
      </c>
      <c r="EY16" s="192" t="s">
        <v>660</v>
      </c>
      <c r="EZ16" s="192" t="s">
        <v>660</v>
      </c>
      <c r="FA16" s="192" t="s">
        <v>660</v>
      </c>
      <c r="FB16" s="192" t="s">
        <v>660</v>
      </c>
      <c r="FC16" s="192" t="s">
        <v>660</v>
      </c>
      <c r="FD16" s="192" t="s">
        <v>660</v>
      </c>
      <c r="FE16" s="192" t="s">
        <v>660</v>
      </c>
      <c r="FF16" s="192" t="s">
        <v>660</v>
      </c>
      <c r="FG16" s="192" t="s">
        <v>660</v>
      </c>
      <c r="FH16" s="192" t="s">
        <v>660</v>
      </c>
      <c r="FI16" s="192" t="s">
        <v>674</v>
      </c>
      <c r="FJ16" s="192" t="s">
        <v>660</v>
      </c>
    </row>
    <row r="17" spans="1:166" ht="405">
      <c r="A17" s="196">
        <v>46126.504849537036</v>
      </c>
      <c r="B17" s="196">
        <v>46126.581412037034</v>
      </c>
      <c r="C17" s="192" t="s">
        <v>507</v>
      </c>
      <c r="D17" s="192" t="s">
        <v>877</v>
      </c>
      <c r="E17">
        <v>100</v>
      </c>
      <c r="F17">
        <v>6614</v>
      </c>
      <c r="G17" s="192" t="s">
        <v>658</v>
      </c>
      <c r="H17" s="196">
        <v>46126.58142289352</v>
      </c>
      <c r="I17" s="192" t="s">
        <v>878</v>
      </c>
      <c r="J17" s="192" t="s">
        <v>660</v>
      </c>
      <c r="K17" s="192" t="s">
        <v>660</v>
      </c>
      <c r="L17" s="192" t="s">
        <v>660</v>
      </c>
      <c r="M17" s="192" t="s">
        <v>660</v>
      </c>
      <c r="N17">
        <v>48.911900000000003</v>
      </c>
      <c r="O17">
        <v>2.2875000000000001</v>
      </c>
      <c r="P17" s="192" t="s">
        <v>661</v>
      </c>
      <c r="Q17" s="192" t="s">
        <v>662</v>
      </c>
      <c r="R17" s="192" t="s">
        <v>5</v>
      </c>
      <c r="S17" s="192" t="s">
        <v>879</v>
      </c>
      <c r="T17" s="192" t="s">
        <v>173</v>
      </c>
      <c r="U17" s="192" t="s">
        <v>880</v>
      </c>
      <c r="V17" s="192" t="s">
        <v>660</v>
      </c>
      <c r="W17" s="192" t="s">
        <v>177</v>
      </c>
      <c r="X17" s="192" t="s">
        <v>881</v>
      </c>
      <c r="Y17" s="192" t="s">
        <v>180</v>
      </c>
      <c r="Z17" s="192" t="s">
        <v>880</v>
      </c>
      <c r="AA17" s="192" t="s">
        <v>165</v>
      </c>
      <c r="AB17" s="192" t="s">
        <v>660</v>
      </c>
      <c r="AC17" s="192" t="s">
        <v>51</v>
      </c>
      <c r="AD17" s="192" t="s">
        <v>660</v>
      </c>
      <c r="AE17" s="192" t="s">
        <v>679</v>
      </c>
      <c r="AF17" s="192" t="s">
        <v>175</v>
      </c>
      <c r="AG17" s="192" t="s">
        <v>660</v>
      </c>
      <c r="AH17" s="192" t="s">
        <v>174</v>
      </c>
      <c r="AI17" s="192" t="s">
        <v>687</v>
      </c>
      <c r="AJ17" s="192" t="s">
        <v>688</v>
      </c>
      <c r="AK17" s="192" t="s">
        <v>668</v>
      </c>
      <c r="AL17" s="192" t="s">
        <v>882</v>
      </c>
      <c r="AM17" s="192" t="s">
        <v>883</v>
      </c>
      <c r="AN17" s="192" t="s">
        <v>668</v>
      </c>
      <c r="AO17" s="192" t="s">
        <v>668</v>
      </c>
      <c r="AP17" s="192" t="s">
        <v>668</v>
      </c>
      <c r="AQ17" s="192" t="s">
        <v>668</v>
      </c>
      <c r="AR17" s="192" t="s">
        <v>49</v>
      </c>
      <c r="AS17" s="192" t="s">
        <v>660</v>
      </c>
      <c r="AT17" s="192" t="s">
        <v>694</v>
      </c>
      <c r="AU17" s="192" t="s">
        <v>171</v>
      </c>
      <c r="AV17" s="192" t="s">
        <v>660</v>
      </c>
      <c r="AW17" s="192" t="s">
        <v>176</v>
      </c>
      <c r="AX17" s="192" t="s">
        <v>687</v>
      </c>
      <c r="AY17" s="192" t="s">
        <v>688</v>
      </c>
      <c r="AZ17" s="192" t="s">
        <v>668</v>
      </c>
      <c r="BA17" s="192" t="s">
        <v>884</v>
      </c>
      <c r="BB17" s="192" t="s">
        <v>884</v>
      </c>
      <c r="BC17" s="192" t="s">
        <v>673</v>
      </c>
      <c r="BD17" s="192" t="s">
        <v>673</v>
      </c>
      <c r="BE17" s="192" t="s">
        <v>673</v>
      </c>
      <c r="BF17" s="192" t="s">
        <v>668</v>
      </c>
      <c r="BG17" s="192" t="s">
        <v>660</v>
      </c>
      <c r="BH17" s="192" t="s">
        <v>660</v>
      </c>
      <c r="BI17" s="192" t="s">
        <v>660</v>
      </c>
      <c r="BJ17" s="192" t="s">
        <v>660</v>
      </c>
      <c r="BK17" s="192" t="s">
        <v>660</v>
      </c>
      <c r="BL17" s="192" t="s">
        <v>660</v>
      </c>
      <c r="BM17" s="192" t="s">
        <v>660</v>
      </c>
      <c r="BN17" s="192" t="s">
        <v>660</v>
      </c>
      <c r="BO17" s="192" t="s">
        <v>660</v>
      </c>
      <c r="BP17" s="192" t="s">
        <v>660</v>
      </c>
      <c r="BQ17" s="192" t="s">
        <v>660</v>
      </c>
      <c r="BR17" s="192" t="s">
        <v>660</v>
      </c>
      <c r="BS17" s="192" t="s">
        <v>660</v>
      </c>
      <c r="BT17" s="192" t="s">
        <v>660</v>
      </c>
      <c r="BU17" s="192" t="s">
        <v>660</v>
      </c>
      <c r="BV17" s="192" t="s">
        <v>178</v>
      </c>
      <c r="BW17" s="192" t="s">
        <v>660</v>
      </c>
      <c r="BX17" s="192" t="s">
        <v>701</v>
      </c>
      <c r="BY17" s="192" t="s">
        <v>167</v>
      </c>
      <c r="BZ17" s="192" t="s">
        <v>660</v>
      </c>
      <c r="CA17" s="192" t="s">
        <v>179</v>
      </c>
      <c r="CB17" s="192" t="s">
        <v>687</v>
      </c>
      <c r="CC17" s="192" t="s">
        <v>688</v>
      </c>
      <c r="CD17" s="192" t="s">
        <v>668</v>
      </c>
      <c r="CE17" s="192" t="s">
        <v>885</v>
      </c>
      <c r="CF17" s="192" t="s">
        <v>883</v>
      </c>
      <c r="CG17" s="192" t="s">
        <v>668</v>
      </c>
      <c r="CH17" s="192" t="s">
        <v>668</v>
      </c>
      <c r="CI17" s="192" t="s">
        <v>668</v>
      </c>
      <c r="CJ17" s="192" t="s">
        <v>668</v>
      </c>
      <c r="CK17" s="192" t="s">
        <v>186</v>
      </c>
      <c r="CL17" s="192" t="s">
        <v>886</v>
      </c>
      <c r="CM17" s="192" t="s">
        <v>664</v>
      </c>
      <c r="CN17" s="192" t="s">
        <v>159</v>
      </c>
      <c r="CO17" s="192" t="s">
        <v>660</v>
      </c>
      <c r="CP17" s="192" t="s">
        <v>887</v>
      </c>
      <c r="CQ17" s="192" t="s">
        <v>888</v>
      </c>
      <c r="CR17" s="192" t="s">
        <v>889</v>
      </c>
      <c r="CS17" s="192" t="s">
        <v>673</v>
      </c>
      <c r="CT17" s="192" t="s">
        <v>884</v>
      </c>
      <c r="CU17" s="192" t="s">
        <v>884</v>
      </c>
      <c r="CV17" s="192" t="s">
        <v>673</v>
      </c>
      <c r="CW17" s="192" t="s">
        <v>673</v>
      </c>
      <c r="CX17" s="192" t="s">
        <v>673</v>
      </c>
      <c r="CY17" s="192" t="s">
        <v>668</v>
      </c>
      <c r="CZ17" s="192" t="s">
        <v>181</v>
      </c>
      <c r="DA17" s="192" t="s">
        <v>890</v>
      </c>
      <c r="DB17" s="192" t="s">
        <v>891</v>
      </c>
      <c r="DC17" s="192" t="s">
        <v>183</v>
      </c>
      <c r="DD17" s="192" t="s">
        <v>660</v>
      </c>
      <c r="DE17" s="192" t="s">
        <v>182</v>
      </c>
      <c r="DF17" s="192" t="s">
        <v>892</v>
      </c>
      <c r="DG17" s="192" t="s">
        <v>893</v>
      </c>
      <c r="DH17" s="192" t="s">
        <v>673</v>
      </c>
      <c r="DI17" s="192" t="s">
        <v>894</v>
      </c>
      <c r="DJ17" s="192" t="s">
        <v>884</v>
      </c>
      <c r="DK17" s="192" t="s">
        <v>673</v>
      </c>
      <c r="DL17" s="192" t="s">
        <v>673</v>
      </c>
      <c r="DM17" s="192" t="s">
        <v>673</v>
      </c>
      <c r="DN17" s="192" t="s">
        <v>668</v>
      </c>
      <c r="DO17" s="192" t="s">
        <v>49</v>
      </c>
      <c r="DP17" s="192" t="s">
        <v>660</v>
      </c>
      <c r="DQ17" s="192" t="s">
        <v>694</v>
      </c>
      <c r="DR17" s="192" t="s">
        <v>171</v>
      </c>
      <c r="DS17" s="192" t="s">
        <v>660</v>
      </c>
      <c r="DT17" s="192" t="s">
        <v>170</v>
      </c>
      <c r="DU17" s="192" t="s">
        <v>687</v>
      </c>
      <c r="DV17" s="192" t="s">
        <v>688</v>
      </c>
      <c r="DW17" s="192" t="s">
        <v>668</v>
      </c>
      <c r="DX17" s="192" t="s">
        <v>884</v>
      </c>
      <c r="DY17" s="192" t="s">
        <v>884</v>
      </c>
      <c r="DZ17" s="192" t="s">
        <v>673</v>
      </c>
      <c r="EA17" s="192" t="s">
        <v>673</v>
      </c>
      <c r="EB17" s="192" t="s">
        <v>673</v>
      </c>
      <c r="EC17" s="192" t="s">
        <v>668</v>
      </c>
      <c r="ED17" s="192" t="s">
        <v>51</v>
      </c>
      <c r="EE17" s="192" t="s">
        <v>660</v>
      </c>
      <c r="EF17" s="192" t="s">
        <v>701</v>
      </c>
      <c r="EG17" s="192" t="s">
        <v>167</v>
      </c>
      <c r="EH17" s="192" t="s">
        <v>660</v>
      </c>
      <c r="EI17" s="192" t="s">
        <v>166</v>
      </c>
      <c r="EJ17" s="192" t="s">
        <v>687</v>
      </c>
      <c r="EK17" s="192" t="s">
        <v>688</v>
      </c>
      <c r="EL17" s="192" t="s">
        <v>668</v>
      </c>
      <c r="EM17" s="192" t="s">
        <v>885</v>
      </c>
      <c r="EN17" s="192" t="s">
        <v>883</v>
      </c>
      <c r="EO17" s="192" t="s">
        <v>668</v>
      </c>
      <c r="EP17" s="192" t="s">
        <v>668</v>
      </c>
      <c r="EQ17" s="192" t="s">
        <v>668</v>
      </c>
      <c r="ER17" s="192" t="s">
        <v>668</v>
      </c>
      <c r="ES17" s="192" t="s">
        <v>660</v>
      </c>
      <c r="ET17" s="192" t="s">
        <v>660</v>
      </c>
      <c r="EU17" s="192" t="s">
        <v>660</v>
      </c>
      <c r="EV17" s="192" t="s">
        <v>660</v>
      </c>
      <c r="EW17" s="192" t="s">
        <v>660</v>
      </c>
      <c r="EX17" s="192" t="s">
        <v>660</v>
      </c>
      <c r="EY17" s="192" t="s">
        <v>660</v>
      </c>
      <c r="EZ17" s="192" t="s">
        <v>660</v>
      </c>
      <c r="FA17" s="192" t="s">
        <v>660</v>
      </c>
      <c r="FB17" s="192" t="s">
        <v>660</v>
      </c>
      <c r="FC17" s="192" t="s">
        <v>660</v>
      </c>
      <c r="FD17" s="192" t="s">
        <v>660</v>
      </c>
      <c r="FE17" s="192" t="s">
        <v>660</v>
      </c>
      <c r="FF17" s="192" t="s">
        <v>660</v>
      </c>
      <c r="FG17" s="192" t="s">
        <v>660</v>
      </c>
      <c r="FH17" s="192" t="s">
        <v>660</v>
      </c>
      <c r="FI17" s="192" t="s">
        <v>674</v>
      </c>
      <c r="FJ17" s="192" t="s">
        <v>660</v>
      </c>
    </row>
    <row r="18" spans="1:166" ht="45">
      <c r="A18" s="196">
        <v>46119.612766203703</v>
      </c>
      <c r="B18" s="196">
        <v>46119.612812500003</v>
      </c>
      <c r="C18" s="192" t="s">
        <v>507</v>
      </c>
      <c r="D18" s="192" t="s">
        <v>895</v>
      </c>
      <c r="E18">
        <v>1</v>
      </c>
      <c r="F18">
        <v>3</v>
      </c>
      <c r="G18" s="192" t="s">
        <v>872</v>
      </c>
      <c r="H18" s="196">
        <v>46126.612858518522</v>
      </c>
      <c r="I18" s="192" t="s">
        <v>896</v>
      </c>
      <c r="J18" s="192" t="s">
        <v>660</v>
      </c>
      <c r="K18" s="192" t="s">
        <v>660</v>
      </c>
      <c r="L18" s="192" t="s">
        <v>660</v>
      </c>
      <c r="M18" s="192" t="s">
        <v>660</v>
      </c>
      <c r="N18">
        <v>48.767000000000003</v>
      </c>
      <c r="O18">
        <v>9.1827000000000005</v>
      </c>
      <c r="P18" s="192" t="s">
        <v>897</v>
      </c>
      <c r="Q18" s="192" t="s">
        <v>662</v>
      </c>
      <c r="R18" s="192" t="s">
        <v>660</v>
      </c>
      <c r="S18" s="192" t="s">
        <v>660</v>
      </c>
      <c r="T18" s="192" t="s">
        <v>660</v>
      </c>
      <c r="U18" s="192" t="s">
        <v>660</v>
      </c>
      <c r="V18" s="192" t="s">
        <v>660</v>
      </c>
      <c r="W18" s="192" t="s">
        <v>660</v>
      </c>
      <c r="X18" s="192" t="s">
        <v>660</v>
      </c>
      <c r="Y18" s="192" t="s">
        <v>660</v>
      </c>
      <c r="Z18" s="192" t="s">
        <v>660</v>
      </c>
      <c r="AA18" s="192" t="s">
        <v>660</v>
      </c>
      <c r="AB18" s="192" t="s">
        <v>660</v>
      </c>
      <c r="AC18" s="192" t="s">
        <v>660</v>
      </c>
      <c r="AD18" s="192" t="s">
        <v>660</v>
      </c>
      <c r="AE18" s="192" t="s">
        <v>660</v>
      </c>
      <c r="AF18" s="192" t="s">
        <v>660</v>
      </c>
      <c r="AG18" s="192" t="s">
        <v>660</v>
      </c>
      <c r="AH18" s="192" t="s">
        <v>660</v>
      </c>
      <c r="AI18" s="192" t="s">
        <v>660</v>
      </c>
      <c r="AJ18" s="192" t="s">
        <v>660</v>
      </c>
      <c r="AK18" s="192" t="s">
        <v>660</v>
      </c>
      <c r="AL18" s="192" t="s">
        <v>660</v>
      </c>
      <c r="AM18" s="192" t="s">
        <v>660</v>
      </c>
      <c r="AN18" s="192" t="s">
        <v>660</v>
      </c>
      <c r="AO18" s="192" t="s">
        <v>660</v>
      </c>
      <c r="AP18" s="192" t="s">
        <v>660</v>
      </c>
      <c r="AQ18" s="192" t="s">
        <v>660</v>
      </c>
      <c r="AR18" s="192" t="s">
        <v>660</v>
      </c>
      <c r="AS18" s="192" t="s">
        <v>660</v>
      </c>
      <c r="AT18" s="192" t="s">
        <v>660</v>
      </c>
      <c r="AU18" s="192" t="s">
        <v>660</v>
      </c>
      <c r="AV18" s="192" t="s">
        <v>660</v>
      </c>
      <c r="AW18" s="192" t="s">
        <v>660</v>
      </c>
      <c r="AX18" s="192" t="s">
        <v>660</v>
      </c>
      <c r="AY18" s="192" t="s">
        <v>660</v>
      </c>
      <c r="AZ18" s="192" t="s">
        <v>660</v>
      </c>
      <c r="BA18" s="192" t="s">
        <v>660</v>
      </c>
      <c r="BB18" s="192" t="s">
        <v>660</v>
      </c>
      <c r="BC18" s="192" t="s">
        <v>660</v>
      </c>
      <c r="BD18" s="192" t="s">
        <v>660</v>
      </c>
      <c r="BE18" s="192" t="s">
        <v>660</v>
      </c>
      <c r="BF18" s="192" t="s">
        <v>660</v>
      </c>
      <c r="BG18" s="192" t="s">
        <v>660</v>
      </c>
      <c r="BH18" s="192" t="s">
        <v>660</v>
      </c>
      <c r="BI18" s="192" t="s">
        <v>660</v>
      </c>
      <c r="BJ18" s="192" t="s">
        <v>660</v>
      </c>
      <c r="BK18" s="192" t="s">
        <v>660</v>
      </c>
      <c r="BL18" s="192" t="s">
        <v>660</v>
      </c>
      <c r="BM18" s="192" t="s">
        <v>660</v>
      </c>
      <c r="BN18" s="192" t="s">
        <v>660</v>
      </c>
      <c r="BO18" s="192" t="s">
        <v>660</v>
      </c>
      <c r="BP18" s="192" t="s">
        <v>660</v>
      </c>
      <c r="BQ18" s="192" t="s">
        <v>660</v>
      </c>
      <c r="BR18" s="192" t="s">
        <v>660</v>
      </c>
      <c r="BS18" s="192" t="s">
        <v>660</v>
      </c>
      <c r="BT18" s="192" t="s">
        <v>660</v>
      </c>
      <c r="BU18" s="192" t="s">
        <v>660</v>
      </c>
      <c r="BV18" s="192" t="s">
        <v>660</v>
      </c>
      <c r="BW18" s="192" t="s">
        <v>660</v>
      </c>
      <c r="BX18" s="192" t="s">
        <v>660</v>
      </c>
      <c r="BY18" s="192" t="s">
        <v>660</v>
      </c>
      <c r="BZ18" s="192" t="s">
        <v>660</v>
      </c>
      <c r="CA18" s="192" t="s">
        <v>660</v>
      </c>
      <c r="CB18" s="192" t="s">
        <v>660</v>
      </c>
      <c r="CC18" s="192" t="s">
        <v>660</v>
      </c>
      <c r="CD18" s="192" t="s">
        <v>660</v>
      </c>
      <c r="CE18" s="192" t="s">
        <v>660</v>
      </c>
      <c r="CF18" s="192" t="s">
        <v>660</v>
      </c>
      <c r="CG18" s="192" t="s">
        <v>660</v>
      </c>
      <c r="CH18" s="192" t="s">
        <v>660</v>
      </c>
      <c r="CI18" s="192" t="s">
        <v>660</v>
      </c>
      <c r="CJ18" s="192" t="s">
        <v>660</v>
      </c>
      <c r="CK18" s="192" t="s">
        <v>660</v>
      </c>
      <c r="CL18" s="192" t="s">
        <v>660</v>
      </c>
      <c r="CM18" s="192" t="s">
        <v>660</v>
      </c>
      <c r="CN18" s="192" t="s">
        <v>660</v>
      </c>
      <c r="CO18" s="192" t="s">
        <v>660</v>
      </c>
      <c r="CP18" s="192" t="s">
        <v>660</v>
      </c>
      <c r="CQ18" s="192" t="s">
        <v>660</v>
      </c>
      <c r="CR18" s="192" t="s">
        <v>660</v>
      </c>
      <c r="CS18" s="192" t="s">
        <v>660</v>
      </c>
      <c r="CT18" s="192" t="s">
        <v>660</v>
      </c>
      <c r="CU18" s="192" t="s">
        <v>660</v>
      </c>
      <c r="CV18" s="192" t="s">
        <v>660</v>
      </c>
      <c r="CW18" s="192" t="s">
        <v>660</v>
      </c>
      <c r="CX18" s="192" t="s">
        <v>660</v>
      </c>
      <c r="CY18" s="192" t="s">
        <v>660</v>
      </c>
      <c r="CZ18" s="192" t="s">
        <v>660</v>
      </c>
      <c r="DA18" s="192" t="s">
        <v>660</v>
      </c>
      <c r="DB18" s="192" t="s">
        <v>660</v>
      </c>
      <c r="DC18" s="192" t="s">
        <v>660</v>
      </c>
      <c r="DD18" s="192" t="s">
        <v>660</v>
      </c>
      <c r="DE18" s="192" t="s">
        <v>660</v>
      </c>
      <c r="DF18" s="192" t="s">
        <v>660</v>
      </c>
      <c r="DG18" s="192" t="s">
        <v>660</v>
      </c>
      <c r="DH18" s="192" t="s">
        <v>660</v>
      </c>
      <c r="DI18" s="192" t="s">
        <v>660</v>
      </c>
      <c r="DJ18" s="192" t="s">
        <v>660</v>
      </c>
      <c r="DK18" s="192" t="s">
        <v>660</v>
      </c>
      <c r="DL18" s="192" t="s">
        <v>660</v>
      </c>
      <c r="DM18" s="192" t="s">
        <v>660</v>
      </c>
      <c r="DN18" s="192" t="s">
        <v>660</v>
      </c>
      <c r="DO18" s="192" t="s">
        <v>660</v>
      </c>
      <c r="DP18" s="192" t="s">
        <v>660</v>
      </c>
      <c r="DQ18" s="192" t="s">
        <v>660</v>
      </c>
      <c r="DR18" s="192" t="s">
        <v>660</v>
      </c>
      <c r="DS18" s="192" t="s">
        <v>660</v>
      </c>
      <c r="DT18" s="192" t="s">
        <v>660</v>
      </c>
      <c r="DU18" s="192" t="s">
        <v>660</v>
      </c>
      <c r="DV18" s="192" t="s">
        <v>660</v>
      </c>
      <c r="DW18" s="192" t="s">
        <v>660</v>
      </c>
      <c r="DX18" s="192" t="s">
        <v>660</v>
      </c>
      <c r="DY18" s="192" t="s">
        <v>660</v>
      </c>
      <c r="DZ18" s="192" t="s">
        <v>660</v>
      </c>
      <c r="EA18" s="192" t="s">
        <v>660</v>
      </c>
      <c r="EB18" s="192" t="s">
        <v>660</v>
      </c>
      <c r="EC18" s="192" t="s">
        <v>660</v>
      </c>
      <c r="ED18" s="192" t="s">
        <v>660</v>
      </c>
      <c r="EE18" s="192" t="s">
        <v>660</v>
      </c>
      <c r="EF18" s="192" t="s">
        <v>660</v>
      </c>
      <c r="EG18" s="192" t="s">
        <v>660</v>
      </c>
      <c r="EH18" s="192" t="s">
        <v>660</v>
      </c>
      <c r="EI18" s="192" t="s">
        <v>660</v>
      </c>
      <c r="EJ18" s="192" t="s">
        <v>660</v>
      </c>
      <c r="EK18" s="192" t="s">
        <v>660</v>
      </c>
      <c r="EL18" s="192" t="s">
        <v>660</v>
      </c>
      <c r="EM18" s="192" t="s">
        <v>660</v>
      </c>
      <c r="EN18" s="192" t="s">
        <v>660</v>
      </c>
      <c r="EO18" s="192" t="s">
        <v>660</v>
      </c>
      <c r="EP18" s="192" t="s">
        <v>660</v>
      </c>
      <c r="EQ18" s="192" t="s">
        <v>660</v>
      </c>
      <c r="ER18" s="192" t="s">
        <v>660</v>
      </c>
      <c r="ES18" s="192" t="s">
        <v>660</v>
      </c>
      <c r="ET18" s="192" t="s">
        <v>660</v>
      </c>
      <c r="EU18" s="192" t="s">
        <v>660</v>
      </c>
      <c r="EV18" s="192" t="s">
        <v>660</v>
      </c>
      <c r="EW18" s="192" t="s">
        <v>660</v>
      </c>
      <c r="EX18" s="192" t="s">
        <v>660</v>
      </c>
      <c r="EY18" s="192" t="s">
        <v>660</v>
      </c>
      <c r="EZ18" s="192" t="s">
        <v>660</v>
      </c>
      <c r="FA18" s="192" t="s">
        <v>660</v>
      </c>
      <c r="FB18" s="192" t="s">
        <v>660</v>
      </c>
      <c r="FC18" s="192" t="s">
        <v>660</v>
      </c>
      <c r="FD18" s="192" t="s">
        <v>660</v>
      </c>
      <c r="FE18" s="192" t="s">
        <v>660</v>
      </c>
      <c r="FF18" s="192" t="s">
        <v>660</v>
      </c>
      <c r="FG18" s="192" t="s">
        <v>660</v>
      </c>
      <c r="FH18" s="192" t="s">
        <v>660</v>
      </c>
      <c r="FI18" s="192" t="s">
        <v>674</v>
      </c>
      <c r="FJ18" s="192" t="s">
        <v>660</v>
      </c>
    </row>
    <row r="19" spans="1:166" ht="60">
      <c r="A19" s="196">
        <v>46119.456782407404</v>
      </c>
      <c r="B19" s="196">
        <v>46119.620671296296</v>
      </c>
      <c r="C19" s="192" t="s">
        <v>507</v>
      </c>
      <c r="D19" s="192" t="s">
        <v>898</v>
      </c>
      <c r="E19">
        <v>3</v>
      </c>
      <c r="F19">
        <v>14159</v>
      </c>
      <c r="G19" s="192" t="s">
        <v>872</v>
      </c>
      <c r="H19" s="196">
        <v>46126.620692997683</v>
      </c>
      <c r="I19" s="192" t="s">
        <v>899</v>
      </c>
      <c r="J19" s="192" t="s">
        <v>660</v>
      </c>
      <c r="K19" s="192" t="s">
        <v>660</v>
      </c>
      <c r="L19" s="192" t="s">
        <v>660</v>
      </c>
      <c r="M19" s="192" t="s">
        <v>660</v>
      </c>
      <c r="N19">
        <v>50.116900000000001</v>
      </c>
      <c r="O19">
        <v>8.6837</v>
      </c>
      <c r="P19" s="192" t="s">
        <v>661</v>
      </c>
      <c r="Q19" s="192" t="s">
        <v>662</v>
      </c>
      <c r="R19" s="192" t="s">
        <v>2</v>
      </c>
      <c r="S19" s="192" t="s">
        <v>900</v>
      </c>
      <c r="T19" s="192" t="s">
        <v>130</v>
      </c>
      <c r="U19" s="192" t="s">
        <v>660</v>
      </c>
      <c r="V19" s="192" t="s">
        <v>660</v>
      </c>
      <c r="W19" s="192" t="s">
        <v>660</v>
      </c>
      <c r="X19" s="192" t="s">
        <v>660</v>
      </c>
      <c r="Y19" s="192" t="s">
        <v>660</v>
      </c>
      <c r="Z19" s="192" t="s">
        <v>660</v>
      </c>
      <c r="AA19" s="192" t="s">
        <v>660</v>
      </c>
      <c r="AB19" s="192" t="s">
        <v>660</v>
      </c>
      <c r="AC19" s="192" t="s">
        <v>660</v>
      </c>
      <c r="AD19" s="192" t="s">
        <v>660</v>
      </c>
      <c r="AE19" s="192" t="s">
        <v>660</v>
      </c>
      <c r="AF19" s="192" t="s">
        <v>660</v>
      </c>
      <c r="AG19" s="192" t="s">
        <v>660</v>
      </c>
      <c r="AH19" s="192" t="s">
        <v>660</v>
      </c>
      <c r="AI19" s="192" t="s">
        <v>660</v>
      </c>
      <c r="AJ19" s="192" t="s">
        <v>660</v>
      </c>
      <c r="AK19" s="192" t="s">
        <v>660</v>
      </c>
      <c r="AL19" s="192" t="s">
        <v>660</v>
      </c>
      <c r="AM19" s="192" t="s">
        <v>660</v>
      </c>
      <c r="AN19" s="192" t="s">
        <v>660</v>
      </c>
      <c r="AO19" s="192" t="s">
        <v>660</v>
      </c>
      <c r="AP19" s="192" t="s">
        <v>660</v>
      </c>
      <c r="AQ19" s="192" t="s">
        <v>660</v>
      </c>
      <c r="AR19" s="192" t="s">
        <v>660</v>
      </c>
      <c r="AS19" s="192" t="s">
        <v>660</v>
      </c>
      <c r="AT19" s="192" t="s">
        <v>660</v>
      </c>
      <c r="AU19" s="192" t="s">
        <v>660</v>
      </c>
      <c r="AV19" s="192" t="s">
        <v>660</v>
      </c>
      <c r="AW19" s="192" t="s">
        <v>660</v>
      </c>
      <c r="AX19" s="192" t="s">
        <v>660</v>
      </c>
      <c r="AY19" s="192" t="s">
        <v>660</v>
      </c>
      <c r="AZ19" s="192" t="s">
        <v>660</v>
      </c>
      <c r="BA19" s="192" t="s">
        <v>660</v>
      </c>
      <c r="BB19" s="192" t="s">
        <v>660</v>
      </c>
      <c r="BC19" s="192" t="s">
        <v>660</v>
      </c>
      <c r="BD19" s="192" t="s">
        <v>660</v>
      </c>
      <c r="BE19" s="192" t="s">
        <v>660</v>
      </c>
      <c r="BF19" s="192" t="s">
        <v>660</v>
      </c>
      <c r="BG19" s="192" t="s">
        <v>660</v>
      </c>
      <c r="BH19" s="192" t="s">
        <v>660</v>
      </c>
      <c r="BI19" s="192" t="s">
        <v>660</v>
      </c>
      <c r="BJ19" s="192" t="s">
        <v>660</v>
      </c>
      <c r="BK19" s="192" t="s">
        <v>660</v>
      </c>
      <c r="BL19" s="192" t="s">
        <v>660</v>
      </c>
      <c r="BM19" s="192" t="s">
        <v>660</v>
      </c>
      <c r="BN19" s="192" t="s">
        <v>660</v>
      </c>
      <c r="BO19" s="192" t="s">
        <v>660</v>
      </c>
      <c r="BP19" s="192" t="s">
        <v>660</v>
      </c>
      <c r="BQ19" s="192" t="s">
        <v>660</v>
      </c>
      <c r="BR19" s="192" t="s">
        <v>660</v>
      </c>
      <c r="BS19" s="192" t="s">
        <v>660</v>
      </c>
      <c r="BT19" s="192" t="s">
        <v>660</v>
      </c>
      <c r="BU19" s="192" t="s">
        <v>660</v>
      </c>
      <c r="BV19" s="192" t="s">
        <v>660</v>
      </c>
      <c r="BW19" s="192" t="s">
        <v>660</v>
      </c>
      <c r="BX19" s="192" t="s">
        <v>660</v>
      </c>
      <c r="BY19" s="192" t="s">
        <v>660</v>
      </c>
      <c r="BZ19" s="192" t="s">
        <v>660</v>
      </c>
      <c r="CA19" s="192" t="s">
        <v>660</v>
      </c>
      <c r="CB19" s="192" t="s">
        <v>660</v>
      </c>
      <c r="CC19" s="192" t="s">
        <v>660</v>
      </c>
      <c r="CD19" s="192" t="s">
        <v>660</v>
      </c>
      <c r="CE19" s="192" t="s">
        <v>660</v>
      </c>
      <c r="CF19" s="192" t="s">
        <v>660</v>
      </c>
      <c r="CG19" s="192" t="s">
        <v>660</v>
      </c>
      <c r="CH19" s="192" t="s">
        <v>660</v>
      </c>
      <c r="CI19" s="192" t="s">
        <v>660</v>
      </c>
      <c r="CJ19" s="192" t="s">
        <v>660</v>
      </c>
      <c r="CK19" s="192" t="s">
        <v>660</v>
      </c>
      <c r="CL19" s="192" t="s">
        <v>660</v>
      </c>
      <c r="CM19" s="192" t="s">
        <v>660</v>
      </c>
      <c r="CN19" s="192" t="s">
        <v>660</v>
      </c>
      <c r="CO19" s="192" t="s">
        <v>660</v>
      </c>
      <c r="CP19" s="192" t="s">
        <v>660</v>
      </c>
      <c r="CQ19" s="192" t="s">
        <v>660</v>
      </c>
      <c r="CR19" s="192" t="s">
        <v>660</v>
      </c>
      <c r="CS19" s="192" t="s">
        <v>660</v>
      </c>
      <c r="CT19" s="192" t="s">
        <v>660</v>
      </c>
      <c r="CU19" s="192" t="s">
        <v>660</v>
      </c>
      <c r="CV19" s="192" t="s">
        <v>660</v>
      </c>
      <c r="CW19" s="192" t="s">
        <v>660</v>
      </c>
      <c r="CX19" s="192" t="s">
        <v>660</v>
      </c>
      <c r="CY19" s="192" t="s">
        <v>660</v>
      </c>
      <c r="CZ19" s="192" t="s">
        <v>660</v>
      </c>
      <c r="DA19" s="192" t="s">
        <v>660</v>
      </c>
      <c r="DB19" s="192" t="s">
        <v>660</v>
      </c>
      <c r="DC19" s="192" t="s">
        <v>660</v>
      </c>
      <c r="DD19" s="192" t="s">
        <v>660</v>
      </c>
      <c r="DE19" s="192" t="s">
        <v>660</v>
      </c>
      <c r="DF19" s="192" t="s">
        <v>660</v>
      </c>
      <c r="DG19" s="192" t="s">
        <v>660</v>
      </c>
      <c r="DH19" s="192" t="s">
        <v>660</v>
      </c>
      <c r="DI19" s="192" t="s">
        <v>660</v>
      </c>
      <c r="DJ19" s="192" t="s">
        <v>660</v>
      </c>
      <c r="DK19" s="192" t="s">
        <v>660</v>
      </c>
      <c r="DL19" s="192" t="s">
        <v>660</v>
      </c>
      <c r="DM19" s="192" t="s">
        <v>660</v>
      </c>
      <c r="DN19" s="192" t="s">
        <v>660</v>
      </c>
      <c r="DO19" s="192" t="s">
        <v>660</v>
      </c>
      <c r="DP19" s="192" t="s">
        <v>660</v>
      </c>
      <c r="DQ19" s="192" t="s">
        <v>660</v>
      </c>
      <c r="DR19" s="192" t="s">
        <v>660</v>
      </c>
      <c r="DS19" s="192" t="s">
        <v>660</v>
      </c>
      <c r="DT19" s="192" t="s">
        <v>660</v>
      </c>
      <c r="DU19" s="192" t="s">
        <v>660</v>
      </c>
      <c r="DV19" s="192" t="s">
        <v>660</v>
      </c>
      <c r="DW19" s="192" t="s">
        <v>660</v>
      </c>
      <c r="DX19" s="192" t="s">
        <v>660</v>
      </c>
      <c r="DY19" s="192" t="s">
        <v>660</v>
      </c>
      <c r="DZ19" s="192" t="s">
        <v>660</v>
      </c>
      <c r="EA19" s="192" t="s">
        <v>660</v>
      </c>
      <c r="EB19" s="192" t="s">
        <v>660</v>
      </c>
      <c r="EC19" s="192" t="s">
        <v>660</v>
      </c>
      <c r="ED19" s="192" t="s">
        <v>660</v>
      </c>
      <c r="EE19" s="192" t="s">
        <v>660</v>
      </c>
      <c r="EF19" s="192" t="s">
        <v>660</v>
      </c>
      <c r="EG19" s="192" t="s">
        <v>660</v>
      </c>
      <c r="EH19" s="192" t="s">
        <v>660</v>
      </c>
      <c r="EI19" s="192" t="s">
        <v>660</v>
      </c>
      <c r="EJ19" s="192" t="s">
        <v>660</v>
      </c>
      <c r="EK19" s="192" t="s">
        <v>660</v>
      </c>
      <c r="EL19" s="192" t="s">
        <v>660</v>
      </c>
      <c r="EM19" s="192" t="s">
        <v>660</v>
      </c>
      <c r="EN19" s="192" t="s">
        <v>660</v>
      </c>
      <c r="EO19" s="192" t="s">
        <v>660</v>
      </c>
      <c r="EP19" s="192" t="s">
        <v>660</v>
      </c>
      <c r="EQ19" s="192" t="s">
        <v>660</v>
      </c>
      <c r="ER19" s="192" t="s">
        <v>660</v>
      </c>
      <c r="ES19" s="192" t="s">
        <v>660</v>
      </c>
      <c r="ET19" s="192" t="s">
        <v>660</v>
      </c>
      <c r="EU19" s="192" t="s">
        <v>660</v>
      </c>
      <c r="EV19" s="192" t="s">
        <v>660</v>
      </c>
      <c r="EW19" s="192" t="s">
        <v>660</v>
      </c>
      <c r="EX19" s="192" t="s">
        <v>660</v>
      </c>
      <c r="EY19" s="192" t="s">
        <v>660</v>
      </c>
      <c r="EZ19" s="192" t="s">
        <v>660</v>
      </c>
      <c r="FA19" s="192" t="s">
        <v>660</v>
      </c>
      <c r="FB19" s="192" t="s">
        <v>660</v>
      </c>
      <c r="FC19" s="192" t="s">
        <v>660</v>
      </c>
      <c r="FD19" s="192" t="s">
        <v>660</v>
      </c>
      <c r="FE19" s="192" t="s">
        <v>660</v>
      </c>
      <c r="FF19" s="192" t="s">
        <v>660</v>
      </c>
      <c r="FG19" s="192" t="s">
        <v>660</v>
      </c>
      <c r="FH19" s="192" t="s">
        <v>660</v>
      </c>
      <c r="FI19" s="192" t="s">
        <v>674</v>
      </c>
      <c r="FJ19" s="192" t="s">
        <v>660</v>
      </c>
    </row>
    <row r="20" spans="1:166" ht="60">
      <c r="A20" s="196">
        <v>46119.620671296296</v>
      </c>
      <c r="B20" s="196">
        <v>46119.67559027778</v>
      </c>
      <c r="C20" s="192" t="s">
        <v>507</v>
      </c>
      <c r="D20" s="192" t="s">
        <v>898</v>
      </c>
      <c r="E20">
        <v>3</v>
      </c>
      <c r="F20">
        <v>4745</v>
      </c>
      <c r="G20" s="192" t="s">
        <v>872</v>
      </c>
      <c r="H20" s="196">
        <v>46126.675684166665</v>
      </c>
      <c r="I20" s="192" t="s">
        <v>901</v>
      </c>
      <c r="J20" s="192" t="s">
        <v>660</v>
      </c>
      <c r="K20" s="192" t="s">
        <v>660</v>
      </c>
      <c r="L20" s="192" t="s">
        <v>660</v>
      </c>
      <c r="M20" s="192" t="s">
        <v>660</v>
      </c>
      <c r="N20">
        <v>50.116900000000001</v>
      </c>
      <c r="O20">
        <v>8.6837</v>
      </c>
      <c r="P20" s="192" t="s">
        <v>661</v>
      </c>
      <c r="Q20" s="192" t="s">
        <v>662</v>
      </c>
      <c r="R20" s="192" t="s">
        <v>6</v>
      </c>
      <c r="S20" s="192" t="s">
        <v>900</v>
      </c>
      <c r="T20" s="192" t="s">
        <v>902</v>
      </c>
      <c r="U20" s="192" t="s">
        <v>660</v>
      </c>
      <c r="V20" s="192" t="s">
        <v>660</v>
      </c>
      <c r="W20" s="192" t="s">
        <v>660</v>
      </c>
      <c r="X20" s="192" t="s">
        <v>660</v>
      </c>
      <c r="Y20" s="192" t="s">
        <v>660</v>
      </c>
      <c r="Z20" s="192" t="s">
        <v>660</v>
      </c>
      <c r="AA20" s="192" t="s">
        <v>660</v>
      </c>
      <c r="AB20" s="192" t="s">
        <v>660</v>
      </c>
      <c r="AC20" s="192" t="s">
        <v>660</v>
      </c>
      <c r="AD20" s="192" t="s">
        <v>660</v>
      </c>
      <c r="AE20" s="192" t="s">
        <v>660</v>
      </c>
      <c r="AF20" s="192" t="s">
        <v>660</v>
      </c>
      <c r="AG20" s="192" t="s">
        <v>660</v>
      </c>
      <c r="AH20" s="192" t="s">
        <v>660</v>
      </c>
      <c r="AI20" s="192" t="s">
        <v>660</v>
      </c>
      <c r="AJ20" s="192" t="s">
        <v>660</v>
      </c>
      <c r="AK20" s="192" t="s">
        <v>660</v>
      </c>
      <c r="AL20" s="192" t="s">
        <v>660</v>
      </c>
      <c r="AM20" s="192" t="s">
        <v>660</v>
      </c>
      <c r="AN20" s="192" t="s">
        <v>660</v>
      </c>
      <c r="AO20" s="192" t="s">
        <v>660</v>
      </c>
      <c r="AP20" s="192" t="s">
        <v>660</v>
      </c>
      <c r="AQ20" s="192" t="s">
        <v>660</v>
      </c>
      <c r="AR20" s="192" t="s">
        <v>660</v>
      </c>
      <c r="AS20" s="192" t="s">
        <v>660</v>
      </c>
      <c r="AT20" s="192" t="s">
        <v>660</v>
      </c>
      <c r="AU20" s="192" t="s">
        <v>660</v>
      </c>
      <c r="AV20" s="192" t="s">
        <v>660</v>
      </c>
      <c r="AW20" s="192" t="s">
        <v>660</v>
      </c>
      <c r="AX20" s="192" t="s">
        <v>660</v>
      </c>
      <c r="AY20" s="192" t="s">
        <v>660</v>
      </c>
      <c r="AZ20" s="192" t="s">
        <v>660</v>
      </c>
      <c r="BA20" s="192" t="s">
        <v>660</v>
      </c>
      <c r="BB20" s="192" t="s">
        <v>660</v>
      </c>
      <c r="BC20" s="192" t="s">
        <v>660</v>
      </c>
      <c r="BD20" s="192" t="s">
        <v>660</v>
      </c>
      <c r="BE20" s="192" t="s">
        <v>660</v>
      </c>
      <c r="BF20" s="192" t="s">
        <v>660</v>
      </c>
      <c r="BG20" s="192" t="s">
        <v>660</v>
      </c>
      <c r="BH20" s="192" t="s">
        <v>660</v>
      </c>
      <c r="BI20" s="192" t="s">
        <v>660</v>
      </c>
      <c r="BJ20" s="192" t="s">
        <v>660</v>
      </c>
      <c r="BK20" s="192" t="s">
        <v>660</v>
      </c>
      <c r="BL20" s="192" t="s">
        <v>660</v>
      </c>
      <c r="BM20" s="192" t="s">
        <v>660</v>
      </c>
      <c r="BN20" s="192" t="s">
        <v>660</v>
      </c>
      <c r="BO20" s="192" t="s">
        <v>660</v>
      </c>
      <c r="BP20" s="192" t="s">
        <v>660</v>
      </c>
      <c r="BQ20" s="192" t="s">
        <v>660</v>
      </c>
      <c r="BR20" s="192" t="s">
        <v>660</v>
      </c>
      <c r="BS20" s="192" t="s">
        <v>660</v>
      </c>
      <c r="BT20" s="192" t="s">
        <v>660</v>
      </c>
      <c r="BU20" s="192" t="s">
        <v>660</v>
      </c>
      <c r="BV20" s="192" t="s">
        <v>660</v>
      </c>
      <c r="BW20" s="192" t="s">
        <v>660</v>
      </c>
      <c r="BX20" s="192" t="s">
        <v>660</v>
      </c>
      <c r="BY20" s="192" t="s">
        <v>660</v>
      </c>
      <c r="BZ20" s="192" t="s">
        <v>660</v>
      </c>
      <c r="CA20" s="192" t="s">
        <v>660</v>
      </c>
      <c r="CB20" s="192" t="s">
        <v>660</v>
      </c>
      <c r="CC20" s="192" t="s">
        <v>660</v>
      </c>
      <c r="CD20" s="192" t="s">
        <v>660</v>
      </c>
      <c r="CE20" s="192" t="s">
        <v>660</v>
      </c>
      <c r="CF20" s="192" t="s">
        <v>660</v>
      </c>
      <c r="CG20" s="192" t="s">
        <v>660</v>
      </c>
      <c r="CH20" s="192" t="s">
        <v>660</v>
      </c>
      <c r="CI20" s="192" t="s">
        <v>660</v>
      </c>
      <c r="CJ20" s="192" t="s">
        <v>660</v>
      </c>
      <c r="CK20" s="192" t="s">
        <v>660</v>
      </c>
      <c r="CL20" s="192" t="s">
        <v>660</v>
      </c>
      <c r="CM20" s="192" t="s">
        <v>660</v>
      </c>
      <c r="CN20" s="192" t="s">
        <v>660</v>
      </c>
      <c r="CO20" s="192" t="s">
        <v>660</v>
      </c>
      <c r="CP20" s="192" t="s">
        <v>660</v>
      </c>
      <c r="CQ20" s="192" t="s">
        <v>660</v>
      </c>
      <c r="CR20" s="192" t="s">
        <v>660</v>
      </c>
      <c r="CS20" s="192" t="s">
        <v>660</v>
      </c>
      <c r="CT20" s="192" t="s">
        <v>660</v>
      </c>
      <c r="CU20" s="192" t="s">
        <v>660</v>
      </c>
      <c r="CV20" s="192" t="s">
        <v>660</v>
      </c>
      <c r="CW20" s="192" t="s">
        <v>660</v>
      </c>
      <c r="CX20" s="192" t="s">
        <v>660</v>
      </c>
      <c r="CY20" s="192" t="s">
        <v>660</v>
      </c>
      <c r="CZ20" s="192" t="s">
        <v>660</v>
      </c>
      <c r="DA20" s="192" t="s">
        <v>660</v>
      </c>
      <c r="DB20" s="192" t="s">
        <v>660</v>
      </c>
      <c r="DC20" s="192" t="s">
        <v>660</v>
      </c>
      <c r="DD20" s="192" t="s">
        <v>660</v>
      </c>
      <c r="DE20" s="192" t="s">
        <v>660</v>
      </c>
      <c r="DF20" s="192" t="s">
        <v>660</v>
      </c>
      <c r="DG20" s="192" t="s">
        <v>660</v>
      </c>
      <c r="DH20" s="192" t="s">
        <v>660</v>
      </c>
      <c r="DI20" s="192" t="s">
        <v>660</v>
      </c>
      <c r="DJ20" s="192" t="s">
        <v>660</v>
      </c>
      <c r="DK20" s="192" t="s">
        <v>660</v>
      </c>
      <c r="DL20" s="192" t="s">
        <v>660</v>
      </c>
      <c r="DM20" s="192" t="s">
        <v>660</v>
      </c>
      <c r="DN20" s="192" t="s">
        <v>660</v>
      </c>
      <c r="DO20" s="192" t="s">
        <v>660</v>
      </c>
      <c r="DP20" s="192" t="s">
        <v>660</v>
      </c>
      <c r="DQ20" s="192" t="s">
        <v>660</v>
      </c>
      <c r="DR20" s="192" t="s">
        <v>660</v>
      </c>
      <c r="DS20" s="192" t="s">
        <v>660</v>
      </c>
      <c r="DT20" s="192" t="s">
        <v>660</v>
      </c>
      <c r="DU20" s="192" t="s">
        <v>660</v>
      </c>
      <c r="DV20" s="192" t="s">
        <v>660</v>
      </c>
      <c r="DW20" s="192" t="s">
        <v>660</v>
      </c>
      <c r="DX20" s="192" t="s">
        <v>660</v>
      </c>
      <c r="DY20" s="192" t="s">
        <v>660</v>
      </c>
      <c r="DZ20" s="192" t="s">
        <v>660</v>
      </c>
      <c r="EA20" s="192" t="s">
        <v>660</v>
      </c>
      <c r="EB20" s="192" t="s">
        <v>660</v>
      </c>
      <c r="EC20" s="192" t="s">
        <v>660</v>
      </c>
      <c r="ED20" s="192" t="s">
        <v>660</v>
      </c>
      <c r="EE20" s="192" t="s">
        <v>660</v>
      </c>
      <c r="EF20" s="192" t="s">
        <v>660</v>
      </c>
      <c r="EG20" s="192" t="s">
        <v>660</v>
      </c>
      <c r="EH20" s="192" t="s">
        <v>660</v>
      </c>
      <c r="EI20" s="192" t="s">
        <v>660</v>
      </c>
      <c r="EJ20" s="192" t="s">
        <v>660</v>
      </c>
      <c r="EK20" s="192" t="s">
        <v>660</v>
      </c>
      <c r="EL20" s="192" t="s">
        <v>660</v>
      </c>
      <c r="EM20" s="192" t="s">
        <v>660</v>
      </c>
      <c r="EN20" s="192" t="s">
        <v>660</v>
      </c>
      <c r="EO20" s="192" t="s">
        <v>660</v>
      </c>
      <c r="EP20" s="192" t="s">
        <v>660</v>
      </c>
      <c r="EQ20" s="192" t="s">
        <v>660</v>
      </c>
      <c r="ER20" s="192" t="s">
        <v>660</v>
      </c>
      <c r="ES20" s="192" t="s">
        <v>660</v>
      </c>
      <c r="ET20" s="192" t="s">
        <v>660</v>
      </c>
      <c r="EU20" s="192" t="s">
        <v>660</v>
      </c>
      <c r="EV20" s="192" t="s">
        <v>660</v>
      </c>
      <c r="EW20" s="192" t="s">
        <v>660</v>
      </c>
      <c r="EX20" s="192" t="s">
        <v>660</v>
      </c>
      <c r="EY20" s="192" t="s">
        <v>660</v>
      </c>
      <c r="EZ20" s="192" t="s">
        <v>660</v>
      </c>
      <c r="FA20" s="192" t="s">
        <v>660</v>
      </c>
      <c r="FB20" s="192" t="s">
        <v>660</v>
      </c>
      <c r="FC20" s="192" t="s">
        <v>660</v>
      </c>
      <c r="FD20" s="192" t="s">
        <v>660</v>
      </c>
      <c r="FE20" s="192" t="s">
        <v>660</v>
      </c>
      <c r="FF20" s="192" t="s">
        <v>660</v>
      </c>
      <c r="FG20" s="192" t="s">
        <v>660</v>
      </c>
      <c r="FH20" s="192" t="s">
        <v>660</v>
      </c>
      <c r="FI20" s="192" t="s">
        <v>674</v>
      </c>
      <c r="FJ20" s="192" t="s">
        <v>660</v>
      </c>
    </row>
    <row r="21" spans="1:166" ht="409.5">
      <c r="A21" s="196">
        <v>46126.636793981481</v>
      </c>
      <c r="B21" s="196">
        <v>46126.687407407408</v>
      </c>
      <c r="C21" s="192" t="s">
        <v>507</v>
      </c>
      <c r="D21" s="192" t="s">
        <v>903</v>
      </c>
      <c r="E21">
        <v>100</v>
      </c>
      <c r="F21">
        <v>4373</v>
      </c>
      <c r="G21" s="192" t="s">
        <v>658</v>
      </c>
      <c r="H21" s="196">
        <v>46126.687434085645</v>
      </c>
      <c r="I21" s="192" t="s">
        <v>904</v>
      </c>
      <c r="J21" s="192" t="s">
        <v>660</v>
      </c>
      <c r="K21" s="192" t="s">
        <v>660</v>
      </c>
      <c r="L21" s="192" t="s">
        <v>660</v>
      </c>
      <c r="M21" s="192" t="s">
        <v>660</v>
      </c>
      <c r="N21">
        <v>40.749299999999998</v>
      </c>
      <c r="O21">
        <v>-73.969700000000003</v>
      </c>
      <c r="P21" s="192" t="s">
        <v>661</v>
      </c>
      <c r="Q21" s="192" t="s">
        <v>662</v>
      </c>
      <c r="R21" s="192" t="s">
        <v>18</v>
      </c>
      <c r="S21" s="192" t="s">
        <v>741</v>
      </c>
      <c r="T21" s="192" t="s">
        <v>335</v>
      </c>
      <c r="U21" s="192" t="s">
        <v>335</v>
      </c>
      <c r="V21" s="192" t="s">
        <v>335</v>
      </c>
      <c r="W21" s="192" t="s">
        <v>335</v>
      </c>
      <c r="X21" s="192" t="s">
        <v>335</v>
      </c>
      <c r="Y21" s="192" t="s">
        <v>335</v>
      </c>
      <c r="Z21" s="192" t="s">
        <v>335</v>
      </c>
      <c r="AA21" s="192" t="s">
        <v>335</v>
      </c>
      <c r="AB21" s="192" t="s">
        <v>335</v>
      </c>
      <c r="AC21" s="192" t="s">
        <v>206</v>
      </c>
      <c r="AD21" s="192" t="s">
        <v>660</v>
      </c>
      <c r="AE21" s="192" t="s">
        <v>686</v>
      </c>
      <c r="AF21" s="192" t="s">
        <v>281</v>
      </c>
      <c r="AG21" s="192" t="s">
        <v>660</v>
      </c>
      <c r="AH21" s="192" t="s">
        <v>905</v>
      </c>
      <c r="AI21" s="192" t="s">
        <v>687</v>
      </c>
      <c r="AJ21" s="192" t="s">
        <v>688</v>
      </c>
      <c r="AK21" s="192" t="s">
        <v>668</v>
      </c>
      <c r="AL21" s="192" t="s">
        <v>906</v>
      </c>
      <c r="AM21" s="192" t="s">
        <v>907</v>
      </c>
      <c r="AN21" s="192" t="s">
        <v>668</v>
      </c>
      <c r="AO21" s="192" t="s">
        <v>668</v>
      </c>
      <c r="AP21" s="192" t="s">
        <v>668</v>
      </c>
      <c r="AQ21" s="192" t="s">
        <v>668</v>
      </c>
      <c r="AR21" s="192" t="s">
        <v>206</v>
      </c>
      <c r="AS21" s="192" t="s">
        <v>660</v>
      </c>
      <c r="AT21" s="192" t="s">
        <v>694</v>
      </c>
      <c r="AU21" s="192" t="s">
        <v>281</v>
      </c>
      <c r="AV21" s="192" t="s">
        <v>660</v>
      </c>
      <c r="AW21" s="192" t="s">
        <v>908</v>
      </c>
      <c r="AX21" s="192" t="s">
        <v>687</v>
      </c>
      <c r="AY21" s="192" t="s">
        <v>688</v>
      </c>
      <c r="AZ21" s="192" t="s">
        <v>668</v>
      </c>
      <c r="BA21" s="192" t="s">
        <v>909</v>
      </c>
      <c r="BB21" s="192" t="s">
        <v>910</v>
      </c>
      <c r="BC21" s="192" t="s">
        <v>668</v>
      </c>
      <c r="BD21" s="192" t="s">
        <v>668</v>
      </c>
      <c r="BE21" s="192" t="s">
        <v>668</v>
      </c>
      <c r="BF21" s="192" t="s">
        <v>668</v>
      </c>
      <c r="BG21" s="192" t="s">
        <v>206</v>
      </c>
      <c r="BH21" s="192" t="s">
        <v>660</v>
      </c>
      <c r="BI21" s="192" t="s">
        <v>686</v>
      </c>
      <c r="BJ21" s="192" t="s">
        <v>281</v>
      </c>
      <c r="BK21" s="192" t="s">
        <v>660</v>
      </c>
      <c r="BL21" s="192" t="s">
        <v>908</v>
      </c>
      <c r="BM21" s="192" t="s">
        <v>687</v>
      </c>
      <c r="BN21" s="192" t="s">
        <v>688</v>
      </c>
      <c r="BO21" s="192" t="s">
        <v>668</v>
      </c>
      <c r="BP21" s="192" t="s">
        <v>910</v>
      </c>
      <c r="BQ21" s="192" t="s">
        <v>910</v>
      </c>
      <c r="BR21" s="192" t="s">
        <v>668</v>
      </c>
      <c r="BS21" s="192" t="s">
        <v>668</v>
      </c>
      <c r="BT21" s="192" t="s">
        <v>668</v>
      </c>
      <c r="BU21" s="192" t="s">
        <v>668</v>
      </c>
      <c r="BV21" s="192" t="s">
        <v>206</v>
      </c>
      <c r="BW21" s="192" t="s">
        <v>660</v>
      </c>
      <c r="BX21" s="192" t="s">
        <v>686</v>
      </c>
      <c r="BY21" s="192" t="s">
        <v>281</v>
      </c>
      <c r="BZ21" s="192" t="s">
        <v>660</v>
      </c>
      <c r="CA21" s="192" t="s">
        <v>911</v>
      </c>
      <c r="CB21" s="192" t="s">
        <v>687</v>
      </c>
      <c r="CC21" s="192" t="s">
        <v>688</v>
      </c>
      <c r="CD21" s="192" t="s">
        <v>668</v>
      </c>
      <c r="CE21" s="192" t="s">
        <v>910</v>
      </c>
      <c r="CF21" s="192" t="s">
        <v>910</v>
      </c>
      <c r="CG21" s="192" t="s">
        <v>668</v>
      </c>
      <c r="CH21" s="192" t="s">
        <v>668</v>
      </c>
      <c r="CI21" s="192" t="s">
        <v>668</v>
      </c>
      <c r="CJ21" s="192" t="s">
        <v>668</v>
      </c>
      <c r="CK21" s="192" t="s">
        <v>49</v>
      </c>
      <c r="CL21" s="192" t="s">
        <v>660</v>
      </c>
      <c r="CM21" s="192" t="s">
        <v>664</v>
      </c>
      <c r="CN21" s="192" t="s">
        <v>284</v>
      </c>
      <c r="CO21" s="192" t="s">
        <v>660</v>
      </c>
      <c r="CP21" s="192" t="s">
        <v>912</v>
      </c>
      <c r="CQ21" s="192" t="s">
        <v>687</v>
      </c>
      <c r="CR21" s="192" t="s">
        <v>688</v>
      </c>
      <c r="CS21" s="192" t="s">
        <v>668</v>
      </c>
      <c r="CT21" s="192" t="s">
        <v>910</v>
      </c>
      <c r="CU21" s="192" t="s">
        <v>910</v>
      </c>
      <c r="CV21" s="192" t="s">
        <v>668</v>
      </c>
      <c r="CW21" s="192" t="s">
        <v>668</v>
      </c>
      <c r="CX21" s="192" t="s">
        <v>668</v>
      </c>
      <c r="CY21" s="192" t="s">
        <v>668</v>
      </c>
      <c r="CZ21" s="192" t="s">
        <v>206</v>
      </c>
      <c r="DA21" s="192" t="s">
        <v>660</v>
      </c>
      <c r="DB21" s="192" t="s">
        <v>694</v>
      </c>
      <c r="DC21" s="192" t="s">
        <v>281</v>
      </c>
      <c r="DD21" s="192" t="s">
        <v>660</v>
      </c>
      <c r="DE21" s="192" t="s">
        <v>913</v>
      </c>
      <c r="DF21" s="192" t="s">
        <v>687</v>
      </c>
      <c r="DG21" s="192" t="s">
        <v>688</v>
      </c>
      <c r="DH21" s="192" t="s">
        <v>668</v>
      </c>
      <c r="DI21" s="192" t="s">
        <v>910</v>
      </c>
      <c r="DJ21" s="192" t="s">
        <v>910</v>
      </c>
      <c r="DK21" s="192" t="s">
        <v>668</v>
      </c>
      <c r="DL21" s="192" t="s">
        <v>668</v>
      </c>
      <c r="DM21" s="192" t="s">
        <v>668</v>
      </c>
      <c r="DN21" s="192" t="s">
        <v>668</v>
      </c>
      <c r="DO21" s="192" t="s">
        <v>206</v>
      </c>
      <c r="DP21" s="192" t="s">
        <v>660</v>
      </c>
      <c r="DQ21" s="192" t="s">
        <v>694</v>
      </c>
      <c r="DR21" s="192" t="s">
        <v>281</v>
      </c>
      <c r="DS21" s="192" t="s">
        <v>660</v>
      </c>
      <c r="DT21" s="192" t="s">
        <v>908</v>
      </c>
      <c r="DU21" s="192" t="s">
        <v>687</v>
      </c>
      <c r="DV21" s="192" t="s">
        <v>688</v>
      </c>
      <c r="DW21" s="192" t="s">
        <v>668</v>
      </c>
      <c r="DX21" s="192" t="s">
        <v>910</v>
      </c>
      <c r="DY21" s="192" t="s">
        <v>910</v>
      </c>
      <c r="DZ21" s="192" t="s">
        <v>668</v>
      </c>
      <c r="EA21" s="192" t="s">
        <v>668</v>
      </c>
      <c r="EB21" s="192" t="s">
        <v>668</v>
      </c>
      <c r="EC21" s="192" t="s">
        <v>668</v>
      </c>
      <c r="ED21" s="192" t="s">
        <v>206</v>
      </c>
      <c r="EE21" s="192" t="s">
        <v>660</v>
      </c>
      <c r="EF21" s="192" t="s">
        <v>694</v>
      </c>
      <c r="EG21" s="192" t="s">
        <v>281</v>
      </c>
      <c r="EH21" s="192" t="s">
        <v>660</v>
      </c>
      <c r="EI21" s="192" t="s">
        <v>908</v>
      </c>
      <c r="EJ21" s="192" t="s">
        <v>687</v>
      </c>
      <c r="EK21" s="192" t="s">
        <v>688</v>
      </c>
      <c r="EL21" s="192" t="s">
        <v>668</v>
      </c>
      <c r="EM21" s="192" t="s">
        <v>910</v>
      </c>
      <c r="EN21" s="192" t="s">
        <v>910</v>
      </c>
      <c r="EO21" s="192" t="s">
        <v>668</v>
      </c>
      <c r="EP21" s="192" t="s">
        <v>668</v>
      </c>
      <c r="EQ21" s="192" t="s">
        <v>668</v>
      </c>
      <c r="ER21" s="192" t="s">
        <v>668</v>
      </c>
      <c r="ES21" s="192" t="s">
        <v>206</v>
      </c>
      <c r="ET21" s="192" t="s">
        <v>660</v>
      </c>
      <c r="EU21" s="192" t="s">
        <v>694</v>
      </c>
      <c r="EV21" s="192" t="s">
        <v>281</v>
      </c>
      <c r="EW21" s="192" t="s">
        <v>660</v>
      </c>
      <c r="EX21" s="192" t="s">
        <v>908</v>
      </c>
      <c r="EY21" s="192" t="s">
        <v>687</v>
      </c>
      <c r="EZ21" s="192" t="s">
        <v>688</v>
      </c>
      <c r="FA21" s="192" t="s">
        <v>668</v>
      </c>
      <c r="FB21" s="192" t="s">
        <v>910</v>
      </c>
      <c r="FC21" s="192" t="s">
        <v>910</v>
      </c>
      <c r="FD21" s="192" t="s">
        <v>668</v>
      </c>
      <c r="FE21" s="192" t="s">
        <v>668</v>
      </c>
      <c r="FF21" s="192" t="s">
        <v>668</v>
      </c>
      <c r="FG21" s="192" t="s">
        <v>668</v>
      </c>
      <c r="FH21" s="192" t="s">
        <v>914</v>
      </c>
      <c r="FI21" s="192" t="s">
        <v>674</v>
      </c>
      <c r="FJ21" s="192" t="s">
        <v>660</v>
      </c>
    </row>
    <row r="22" spans="1:166" ht="45">
      <c r="A22" s="196">
        <v>46119.694305555553</v>
      </c>
      <c r="B22" s="196">
        <v>46119.694756944446</v>
      </c>
      <c r="C22" s="192" t="s">
        <v>507</v>
      </c>
      <c r="D22" s="192" t="s">
        <v>915</v>
      </c>
      <c r="E22">
        <v>1</v>
      </c>
      <c r="F22">
        <v>39</v>
      </c>
      <c r="G22" s="192" t="s">
        <v>872</v>
      </c>
      <c r="H22" s="196">
        <v>46126.694783321756</v>
      </c>
      <c r="I22" s="192" t="s">
        <v>916</v>
      </c>
      <c r="J22" s="192" t="s">
        <v>660</v>
      </c>
      <c r="K22" s="192" t="s">
        <v>660</v>
      </c>
      <c r="L22" s="192" t="s">
        <v>660</v>
      </c>
      <c r="M22" s="192" t="s">
        <v>660</v>
      </c>
      <c r="N22">
        <v>47.497</v>
      </c>
      <c r="O22">
        <v>8.2559000000000005</v>
      </c>
      <c r="P22" s="192" t="s">
        <v>661</v>
      </c>
      <c r="Q22" s="192" t="s">
        <v>662</v>
      </c>
      <c r="R22" s="192" t="s">
        <v>660</v>
      </c>
      <c r="S22" s="192" t="s">
        <v>660</v>
      </c>
      <c r="T22" s="192" t="s">
        <v>660</v>
      </c>
      <c r="U22" s="192" t="s">
        <v>660</v>
      </c>
      <c r="V22" s="192" t="s">
        <v>660</v>
      </c>
      <c r="W22" s="192" t="s">
        <v>660</v>
      </c>
      <c r="X22" s="192" t="s">
        <v>660</v>
      </c>
      <c r="Y22" s="192" t="s">
        <v>660</v>
      </c>
      <c r="Z22" s="192" t="s">
        <v>660</v>
      </c>
      <c r="AA22" s="192" t="s">
        <v>660</v>
      </c>
      <c r="AB22" s="192" t="s">
        <v>660</v>
      </c>
      <c r="AC22" s="192" t="s">
        <v>660</v>
      </c>
      <c r="AD22" s="192" t="s">
        <v>660</v>
      </c>
      <c r="AE22" s="192" t="s">
        <v>660</v>
      </c>
      <c r="AF22" s="192" t="s">
        <v>660</v>
      </c>
      <c r="AG22" s="192" t="s">
        <v>660</v>
      </c>
      <c r="AH22" s="192" t="s">
        <v>660</v>
      </c>
      <c r="AI22" s="192" t="s">
        <v>660</v>
      </c>
      <c r="AJ22" s="192" t="s">
        <v>660</v>
      </c>
      <c r="AK22" s="192" t="s">
        <v>660</v>
      </c>
      <c r="AL22" s="192" t="s">
        <v>660</v>
      </c>
      <c r="AM22" s="192" t="s">
        <v>660</v>
      </c>
      <c r="AN22" s="192" t="s">
        <v>660</v>
      </c>
      <c r="AO22" s="192" t="s">
        <v>660</v>
      </c>
      <c r="AP22" s="192" t="s">
        <v>660</v>
      </c>
      <c r="AQ22" s="192" t="s">
        <v>660</v>
      </c>
      <c r="AR22" s="192" t="s">
        <v>660</v>
      </c>
      <c r="AS22" s="192" t="s">
        <v>660</v>
      </c>
      <c r="AT22" s="192" t="s">
        <v>660</v>
      </c>
      <c r="AU22" s="192" t="s">
        <v>660</v>
      </c>
      <c r="AV22" s="192" t="s">
        <v>660</v>
      </c>
      <c r="AW22" s="192" t="s">
        <v>660</v>
      </c>
      <c r="AX22" s="192" t="s">
        <v>660</v>
      </c>
      <c r="AY22" s="192" t="s">
        <v>660</v>
      </c>
      <c r="AZ22" s="192" t="s">
        <v>660</v>
      </c>
      <c r="BA22" s="192" t="s">
        <v>660</v>
      </c>
      <c r="BB22" s="192" t="s">
        <v>660</v>
      </c>
      <c r="BC22" s="192" t="s">
        <v>660</v>
      </c>
      <c r="BD22" s="192" t="s">
        <v>660</v>
      </c>
      <c r="BE22" s="192" t="s">
        <v>660</v>
      </c>
      <c r="BF22" s="192" t="s">
        <v>660</v>
      </c>
      <c r="BG22" s="192" t="s">
        <v>660</v>
      </c>
      <c r="BH22" s="192" t="s">
        <v>660</v>
      </c>
      <c r="BI22" s="192" t="s">
        <v>660</v>
      </c>
      <c r="BJ22" s="192" t="s">
        <v>660</v>
      </c>
      <c r="BK22" s="192" t="s">
        <v>660</v>
      </c>
      <c r="BL22" s="192" t="s">
        <v>660</v>
      </c>
      <c r="BM22" s="192" t="s">
        <v>660</v>
      </c>
      <c r="BN22" s="192" t="s">
        <v>660</v>
      </c>
      <c r="BO22" s="192" t="s">
        <v>660</v>
      </c>
      <c r="BP22" s="192" t="s">
        <v>660</v>
      </c>
      <c r="BQ22" s="192" t="s">
        <v>660</v>
      </c>
      <c r="BR22" s="192" t="s">
        <v>660</v>
      </c>
      <c r="BS22" s="192" t="s">
        <v>660</v>
      </c>
      <c r="BT22" s="192" t="s">
        <v>660</v>
      </c>
      <c r="BU22" s="192" t="s">
        <v>660</v>
      </c>
      <c r="BV22" s="192" t="s">
        <v>660</v>
      </c>
      <c r="BW22" s="192" t="s">
        <v>660</v>
      </c>
      <c r="BX22" s="192" t="s">
        <v>660</v>
      </c>
      <c r="BY22" s="192" t="s">
        <v>660</v>
      </c>
      <c r="BZ22" s="192" t="s">
        <v>660</v>
      </c>
      <c r="CA22" s="192" t="s">
        <v>660</v>
      </c>
      <c r="CB22" s="192" t="s">
        <v>660</v>
      </c>
      <c r="CC22" s="192" t="s">
        <v>660</v>
      </c>
      <c r="CD22" s="192" t="s">
        <v>660</v>
      </c>
      <c r="CE22" s="192" t="s">
        <v>660</v>
      </c>
      <c r="CF22" s="192" t="s">
        <v>660</v>
      </c>
      <c r="CG22" s="192" t="s">
        <v>660</v>
      </c>
      <c r="CH22" s="192" t="s">
        <v>660</v>
      </c>
      <c r="CI22" s="192" t="s">
        <v>660</v>
      </c>
      <c r="CJ22" s="192" t="s">
        <v>660</v>
      </c>
      <c r="CK22" s="192" t="s">
        <v>660</v>
      </c>
      <c r="CL22" s="192" t="s">
        <v>660</v>
      </c>
      <c r="CM22" s="192" t="s">
        <v>660</v>
      </c>
      <c r="CN22" s="192" t="s">
        <v>660</v>
      </c>
      <c r="CO22" s="192" t="s">
        <v>660</v>
      </c>
      <c r="CP22" s="192" t="s">
        <v>660</v>
      </c>
      <c r="CQ22" s="192" t="s">
        <v>660</v>
      </c>
      <c r="CR22" s="192" t="s">
        <v>660</v>
      </c>
      <c r="CS22" s="192" t="s">
        <v>660</v>
      </c>
      <c r="CT22" s="192" t="s">
        <v>660</v>
      </c>
      <c r="CU22" s="192" t="s">
        <v>660</v>
      </c>
      <c r="CV22" s="192" t="s">
        <v>660</v>
      </c>
      <c r="CW22" s="192" t="s">
        <v>660</v>
      </c>
      <c r="CX22" s="192" t="s">
        <v>660</v>
      </c>
      <c r="CY22" s="192" t="s">
        <v>660</v>
      </c>
      <c r="CZ22" s="192" t="s">
        <v>660</v>
      </c>
      <c r="DA22" s="192" t="s">
        <v>660</v>
      </c>
      <c r="DB22" s="192" t="s">
        <v>660</v>
      </c>
      <c r="DC22" s="192" t="s">
        <v>660</v>
      </c>
      <c r="DD22" s="192" t="s">
        <v>660</v>
      </c>
      <c r="DE22" s="192" t="s">
        <v>660</v>
      </c>
      <c r="DF22" s="192" t="s">
        <v>660</v>
      </c>
      <c r="DG22" s="192" t="s">
        <v>660</v>
      </c>
      <c r="DH22" s="192" t="s">
        <v>660</v>
      </c>
      <c r="DI22" s="192" t="s">
        <v>660</v>
      </c>
      <c r="DJ22" s="192" t="s">
        <v>660</v>
      </c>
      <c r="DK22" s="192" t="s">
        <v>660</v>
      </c>
      <c r="DL22" s="192" t="s">
        <v>660</v>
      </c>
      <c r="DM22" s="192" t="s">
        <v>660</v>
      </c>
      <c r="DN22" s="192" t="s">
        <v>660</v>
      </c>
      <c r="DO22" s="192" t="s">
        <v>660</v>
      </c>
      <c r="DP22" s="192" t="s">
        <v>660</v>
      </c>
      <c r="DQ22" s="192" t="s">
        <v>660</v>
      </c>
      <c r="DR22" s="192" t="s">
        <v>660</v>
      </c>
      <c r="DS22" s="192" t="s">
        <v>660</v>
      </c>
      <c r="DT22" s="192" t="s">
        <v>660</v>
      </c>
      <c r="DU22" s="192" t="s">
        <v>660</v>
      </c>
      <c r="DV22" s="192" t="s">
        <v>660</v>
      </c>
      <c r="DW22" s="192" t="s">
        <v>660</v>
      </c>
      <c r="DX22" s="192" t="s">
        <v>660</v>
      </c>
      <c r="DY22" s="192" t="s">
        <v>660</v>
      </c>
      <c r="DZ22" s="192" t="s">
        <v>660</v>
      </c>
      <c r="EA22" s="192" t="s">
        <v>660</v>
      </c>
      <c r="EB22" s="192" t="s">
        <v>660</v>
      </c>
      <c r="EC22" s="192" t="s">
        <v>660</v>
      </c>
      <c r="ED22" s="192" t="s">
        <v>660</v>
      </c>
      <c r="EE22" s="192" t="s">
        <v>660</v>
      </c>
      <c r="EF22" s="192" t="s">
        <v>660</v>
      </c>
      <c r="EG22" s="192" t="s">
        <v>660</v>
      </c>
      <c r="EH22" s="192" t="s">
        <v>660</v>
      </c>
      <c r="EI22" s="192" t="s">
        <v>660</v>
      </c>
      <c r="EJ22" s="192" t="s">
        <v>660</v>
      </c>
      <c r="EK22" s="192" t="s">
        <v>660</v>
      </c>
      <c r="EL22" s="192" t="s">
        <v>660</v>
      </c>
      <c r="EM22" s="192" t="s">
        <v>660</v>
      </c>
      <c r="EN22" s="192" t="s">
        <v>660</v>
      </c>
      <c r="EO22" s="192" t="s">
        <v>660</v>
      </c>
      <c r="EP22" s="192" t="s">
        <v>660</v>
      </c>
      <c r="EQ22" s="192" t="s">
        <v>660</v>
      </c>
      <c r="ER22" s="192" t="s">
        <v>660</v>
      </c>
      <c r="ES22" s="192" t="s">
        <v>660</v>
      </c>
      <c r="ET22" s="192" t="s">
        <v>660</v>
      </c>
      <c r="EU22" s="192" t="s">
        <v>660</v>
      </c>
      <c r="EV22" s="192" t="s">
        <v>660</v>
      </c>
      <c r="EW22" s="192" t="s">
        <v>660</v>
      </c>
      <c r="EX22" s="192" t="s">
        <v>660</v>
      </c>
      <c r="EY22" s="192" t="s">
        <v>660</v>
      </c>
      <c r="EZ22" s="192" t="s">
        <v>660</v>
      </c>
      <c r="FA22" s="192" t="s">
        <v>660</v>
      </c>
      <c r="FB22" s="192" t="s">
        <v>660</v>
      </c>
      <c r="FC22" s="192" t="s">
        <v>660</v>
      </c>
      <c r="FD22" s="192" t="s">
        <v>660</v>
      </c>
      <c r="FE22" s="192" t="s">
        <v>660</v>
      </c>
      <c r="FF22" s="192" t="s">
        <v>660</v>
      </c>
      <c r="FG22" s="192" t="s">
        <v>660</v>
      </c>
      <c r="FH22" s="192" t="s">
        <v>660</v>
      </c>
      <c r="FI22" s="192" t="s">
        <v>674</v>
      </c>
      <c r="FJ22" s="192" t="s">
        <v>660</v>
      </c>
    </row>
    <row r="23" spans="1:166" ht="45">
      <c r="A23" s="196">
        <v>46119.708807870367</v>
      </c>
      <c r="B23" s="196">
        <v>46119.730636574073</v>
      </c>
      <c r="C23" s="192" t="s">
        <v>507</v>
      </c>
      <c r="D23" s="192" t="s">
        <v>917</v>
      </c>
      <c r="E23">
        <v>1</v>
      </c>
      <c r="F23">
        <v>1885</v>
      </c>
      <c r="G23" s="192" t="s">
        <v>872</v>
      </c>
      <c r="H23" s="196">
        <v>46126.730650717589</v>
      </c>
      <c r="I23" s="192" t="s">
        <v>918</v>
      </c>
      <c r="J23" s="192" t="s">
        <v>660</v>
      </c>
      <c r="K23" s="192" t="s">
        <v>660</v>
      </c>
      <c r="L23" s="192" t="s">
        <v>660</v>
      </c>
      <c r="M23" s="192" t="s">
        <v>660</v>
      </c>
      <c r="N23">
        <v>51.222200000000001</v>
      </c>
      <c r="O23">
        <v>6.7788000000000004</v>
      </c>
      <c r="P23" s="192" t="s">
        <v>661</v>
      </c>
      <c r="Q23" s="192" t="s">
        <v>662</v>
      </c>
      <c r="R23" s="192" t="s">
        <v>660</v>
      </c>
      <c r="S23" s="192" t="s">
        <v>660</v>
      </c>
      <c r="T23" s="192" t="s">
        <v>660</v>
      </c>
      <c r="U23" s="192" t="s">
        <v>660</v>
      </c>
      <c r="V23" s="192" t="s">
        <v>660</v>
      </c>
      <c r="W23" s="192" t="s">
        <v>660</v>
      </c>
      <c r="X23" s="192" t="s">
        <v>660</v>
      </c>
      <c r="Y23" s="192" t="s">
        <v>660</v>
      </c>
      <c r="Z23" s="192" t="s">
        <v>660</v>
      </c>
      <c r="AA23" s="192" t="s">
        <v>660</v>
      </c>
      <c r="AB23" s="192" t="s">
        <v>660</v>
      </c>
      <c r="AC23" s="192" t="s">
        <v>660</v>
      </c>
      <c r="AD23" s="192" t="s">
        <v>660</v>
      </c>
      <c r="AE23" s="192" t="s">
        <v>660</v>
      </c>
      <c r="AF23" s="192" t="s">
        <v>660</v>
      </c>
      <c r="AG23" s="192" t="s">
        <v>660</v>
      </c>
      <c r="AH23" s="192" t="s">
        <v>660</v>
      </c>
      <c r="AI23" s="192" t="s">
        <v>660</v>
      </c>
      <c r="AJ23" s="192" t="s">
        <v>660</v>
      </c>
      <c r="AK23" s="192" t="s">
        <v>660</v>
      </c>
      <c r="AL23" s="192" t="s">
        <v>660</v>
      </c>
      <c r="AM23" s="192" t="s">
        <v>660</v>
      </c>
      <c r="AN23" s="192" t="s">
        <v>660</v>
      </c>
      <c r="AO23" s="192" t="s">
        <v>660</v>
      </c>
      <c r="AP23" s="192" t="s">
        <v>660</v>
      </c>
      <c r="AQ23" s="192" t="s">
        <v>660</v>
      </c>
      <c r="AR23" s="192" t="s">
        <v>660</v>
      </c>
      <c r="AS23" s="192" t="s">
        <v>660</v>
      </c>
      <c r="AT23" s="192" t="s">
        <v>660</v>
      </c>
      <c r="AU23" s="192" t="s">
        <v>660</v>
      </c>
      <c r="AV23" s="192" t="s">
        <v>660</v>
      </c>
      <c r="AW23" s="192" t="s">
        <v>660</v>
      </c>
      <c r="AX23" s="192" t="s">
        <v>660</v>
      </c>
      <c r="AY23" s="192" t="s">
        <v>660</v>
      </c>
      <c r="AZ23" s="192" t="s">
        <v>660</v>
      </c>
      <c r="BA23" s="192" t="s">
        <v>660</v>
      </c>
      <c r="BB23" s="192" t="s">
        <v>660</v>
      </c>
      <c r="BC23" s="192" t="s">
        <v>660</v>
      </c>
      <c r="BD23" s="192" t="s">
        <v>660</v>
      </c>
      <c r="BE23" s="192" t="s">
        <v>660</v>
      </c>
      <c r="BF23" s="192" t="s">
        <v>660</v>
      </c>
      <c r="BG23" s="192" t="s">
        <v>660</v>
      </c>
      <c r="BH23" s="192" t="s">
        <v>660</v>
      </c>
      <c r="BI23" s="192" t="s">
        <v>660</v>
      </c>
      <c r="BJ23" s="192" t="s">
        <v>660</v>
      </c>
      <c r="BK23" s="192" t="s">
        <v>660</v>
      </c>
      <c r="BL23" s="192" t="s">
        <v>660</v>
      </c>
      <c r="BM23" s="192" t="s">
        <v>660</v>
      </c>
      <c r="BN23" s="192" t="s">
        <v>660</v>
      </c>
      <c r="BO23" s="192" t="s">
        <v>660</v>
      </c>
      <c r="BP23" s="192" t="s">
        <v>660</v>
      </c>
      <c r="BQ23" s="192" t="s">
        <v>660</v>
      </c>
      <c r="BR23" s="192" t="s">
        <v>660</v>
      </c>
      <c r="BS23" s="192" t="s">
        <v>660</v>
      </c>
      <c r="BT23" s="192" t="s">
        <v>660</v>
      </c>
      <c r="BU23" s="192" t="s">
        <v>660</v>
      </c>
      <c r="BV23" s="192" t="s">
        <v>660</v>
      </c>
      <c r="BW23" s="192" t="s">
        <v>660</v>
      </c>
      <c r="BX23" s="192" t="s">
        <v>660</v>
      </c>
      <c r="BY23" s="192" t="s">
        <v>660</v>
      </c>
      <c r="BZ23" s="192" t="s">
        <v>660</v>
      </c>
      <c r="CA23" s="192" t="s">
        <v>660</v>
      </c>
      <c r="CB23" s="192" t="s">
        <v>660</v>
      </c>
      <c r="CC23" s="192" t="s">
        <v>660</v>
      </c>
      <c r="CD23" s="192" t="s">
        <v>660</v>
      </c>
      <c r="CE23" s="192" t="s">
        <v>660</v>
      </c>
      <c r="CF23" s="192" t="s">
        <v>660</v>
      </c>
      <c r="CG23" s="192" t="s">
        <v>660</v>
      </c>
      <c r="CH23" s="192" t="s">
        <v>660</v>
      </c>
      <c r="CI23" s="192" t="s">
        <v>660</v>
      </c>
      <c r="CJ23" s="192" t="s">
        <v>660</v>
      </c>
      <c r="CK23" s="192" t="s">
        <v>660</v>
      </c>
      <c r="CL23" s="192" t="s">
        <v>660</v>
      </c>
      <c r="CM23" s="192" t="s">
        <v>660</v>
      </c>
      <c r="CN23" s="192" t="s">
        <v>660</v>
      </c>
      <c r="CO23" s="192" t="s">
        <v>660</v>
      </c>
      <c r="CP23" s="192" t="s">
        <v>660</v>
      </c>
      <c r="CQ23" s="192" t="s">
        <v>660</v>
      </c>
      <c r="CR23" s="192" t="s">
        <v>660</v>
      </c>
      <c r="CS23" s="192" t="s">
        <v>660</v>
      </c>
      <c r="CT23" s="192" t="s">
        <v>660</v>
      </c>
      <c r="CU23" s="192" t="s">
        <v>660</v>
      </c>
      <c r="CV23" s="192" t="s">
        <v>660</v>
      </c>
      <c r="CW23" s="192" t="s">
        <v>660</v>
      </c>
      <c r="CX23" s="192" t="s">
        <v>660</v>
      </c>
      <c r="CY23" s="192" t="s">
        <v>660</v>
      </c>
      <c r="CZ23" s="192" t="s">
        <v>660</v>
      </c>
      <c r="DA23" s="192" t="s">
        <v>660</v>
      </c>
      <c r="DB23" s="192" t="s">
        <v>660</v>
      </c>
      <c r="DC23" s="192" t="s">
        <v>660</v>
      </c>
      <c r="DD23" s="192" t="s">
        <v>660</v>
      </c>
      <c r="DE23" s="192" t="s">
        <v>660</v>
      </c>
      <c r="DF23" s="192" t="s">
        <v>660</v>
      </c>
      <c r="DG23" s="192" t="s">
        <v>660</v>
      </c>
      <c r="DH23" s="192" t="s">
        <v>660</v>
      </c>
      <c r="DI23" s="192" t="s">
        <v>660</v>
      </c>
      <c r="DJ23" s="192" t="s">
        <v>660</v>
      </c>
      <c r="DK23" s="192" t="s">
        <v>660</v>
      </c>
      <c r="DL23" s="192" t="s">
        <v>660</v>
      </c>
      <c r="DM23" s="192" t="s">
        <v>660</v>
      </c>
      <c r="DN23" s="192" t="s">
        <v>660</v>
      </c>
      <c r="DO23" s="192" t="s">
        <v>660</v>
      </c>
      <c r="DP23" s="192" t="s">
        <v>660</v>
      </c>
      <c r="DQ23" s="192" t="s">
        <v>660</v>
      </c>
      <c r="DR23" s="192" t="s">
        <v>660</v>
      </c>
      <c r="DS23" s="192" t="s">
        <v>660</v>
      </c>
      <c r="DT23" s="192" t="s">
        <v>660</v>
      </c>
      <c r="DU23" s="192" t="s">
        <v>660</v>
      </c>
      <c r="DV23" s="192" t="s">
        <v>660</v>
      </c>
      <c r="DW23" s="192" t="s">
        <v>660</v>
      </c>
      <c r="DX23" s="192" t="s">
        <v>660</v>
      </c>
      <c r="DY23" s="192" t="s">
        <v>660</v>
      </c>
      <c r="DZ23" s="192" t="s">
        <v>660</v>
      </c>
      <c r="EA23" s="192" t="s">
        <v>660</v>
      </c>
      <c r="EB23" s="192" t="s">
        <v>660</v>
      </c>
      <c r="EC23" s="192" t="s">
        <v>660</v>
      </c>
      <c r="ED23" s="192" t="s">
        <v>660</v>
      </c>
      <c r="EE23" s="192" t="s">
        <v>660</v>
      </c>
      <c r="EF23" s="192" t="s">
        <v>660</v>
      </c>
      <c r="EG23" s="192" t="s">
        <v>660</v>
      </c>
      <c r="EH23" s="192" t="s">
        <v>660</v>
      </c>
      <c r="EI23" s="192" t="s">
        <v>660</v>
      </c>
      <c r="EJ23" s="192" t="s">
        <v>660</v>
      </c>
      <c r="EK23" s="192" t="s">
        <v>660</v>
      </c>
      <c r="EL23" s="192" t="s">
        <v>660</v>
      </c>
      <c r="EM23" s="192" t="s">
        <v>660</v>
      </c>
      <c r="EN23" s="192" t="s">
        <v>660</v>
      </c>
      <c r="EO23" s="192" t="s">
        <v>660</v>
      </c>
      <c r="EP23" s="192" t="s">
        <v>660</v>
      </c>
      <c r="EQ23" s="192" t="s">
        <v>660</v>
      </c>
      <c r="ER23" s="192" t="s">
        <v>660</v>
      </c>
      <c r="ES23" s="192" t="s">
        <v>660</v>
      </c>
      <c r="ET23" s="192" t="s">
        <v>660</v>
      </c>
      <c r="EU23" s="192" t="s">
        <v>660</v>
      </c>
      <c r="EV23" s="192" t="s">
        <v>660</v>
      </c>
      <c r="EW23" s="192" t="s">
        <v>660</v>
      </c>
      <c r="EX23" s="192" t="s">
        <v>660</v>
      </c>
      <c r="EY23" s="192" t="s">
        <v>660</v>
      </c>
      <c r="EZ23" s="192" t="s">
        <v>660</v>
      </c>
      <c r="FA23" s="192" t="s">
        <v>660</v>
      </c>
      <c r="FB23" s="192" t="s">
        <v>660</v>
      </c>
      <c r="FC23" s="192" t="s">
        <v>660</v>
      </c>
      <c r="FD23" s="192" t="s">
        <v>660</v>
      </c>
      <c r="FE23" s="192" t="s">
        <v>660</v>
      </c>
      <c r="FF23" s="192" t="s">
        <v>660</v>
      </c>
      <c r="FG23" s="192" t="s">
        <v>660</v>
      </c>
      <c r="FH23" s="192" t="s">
        <v>660</v>
      </c>
      <c r="FI23" s="192" t="s">
        <v>674</v>
      </c>
      <c r="FJ23" s="192" t="s">
        <v>660</v>
      </c>
    </row>
    <row r="24" spans="1:166" ht="45">
      <c r="A24" s="196">
        <v>46120.086597222224</v>
      </c>
      <c r="B24" s="196">
        <v>46120.086863425924</v>
      </c>
      <c r="C24" s="192" t="s">
        <v>507</v>
      </c>
      <c r="D24" s="192" t="s">
        <v>919</v>
      </c>
      <c r="E24">
        <v>1</v>
      </c>
      <c r="F24">
        <v>23</v>
      </c>
      <c r="G24" s="192" t="s">
        <v>872</v>
      </c>
      <c r="H24" s="196">
        <v>46127.086911064813</v>
      </c>
      <c r="I24" s="192" t="s">
        <v>920</v>
      </c>
      <c r="J24" s="192" t="s">
        <v>660</v>
      </c>
      <c r="K24" s="192" t="s">
        <v>660</v>
      </c>
      <c r="L24" s="192" t="s">
        <v>660</v>
      </c>
      <c r="M24" s="192" t="s">
        <v>660</v>
      </c>
      <c r="N24">
        <v>-37.800800000000002</v>
      </c>
      <c r="O24">
        <v>144.98759999999999</v>
      </c>
      <c r="P24" s="192" t="s">
        <v>661</v>
      </c>
      <c r="Q24" s="192" t="s">
        <v>662</v>
      </c>
      <c r="R24" s="192" t="s">
        <v>660</v>
      </c>
      <c r="S24" s="192" t="s">
        <v>660</v>
      </c>
      <c r="T24" s="192" t="s">
        <v>660</v>
      </c>
      <c r="U24" s="192" t="s">
        <v>660</v>
      </c>
      <c r="V24" s="192" t="s">
        <v>660</v>
      </c>
      <c r="W24" s="192" t="s">
        <v>660</v>
      </c>
      <c r="X24" s="192" t="s">
        <v>660</v>
      </c>
      <c r="Y24" s="192" t="s">
        <v>660</v>
      </c>
      <c r="Z24" s="192" t="s">
        <v>660</v>
      </c>
      <c r="AA24" s="192" t="s">
        <v>660</v>
      </c>
      <c r="AB24" s="192" t="s">
        <v>660</v>
      </c>
      <c r="AC24" s="192" t="s">
        <v>660</v>
      </c>
      <c r="AD24" s="192" t="s">
        <v>660</v>
      </c>
      <c r="AE24" s="192" t="s">
        <v>660</v>
      </c>
      <c r="AF24" s="192" t="s">
        <v>660</v>
      </c>
      <c r="AG24" s="192" t="s">
        <v>660</v>
      </c>
      <c r="AH24" s="192" t="s">
        <v>660</v>
      </c>
      <c r="AI24" s="192" t="s">
        <v>660</v>
      </c>
      <c r="AJ24" s="192" t="s">
        <v>660</v>
      </c>
      <c r="AK24" s="192" t="s">
        <v>660</v>
      </c>
      <c r="AL24" s="192" t="s">
        <v>660</v>
      </c>
      <c r="AM24" s="192" t="s">
        <v>660</v>
      </c>
      <c r="AN24" s="192" t="s">
        <v>660</v>
      </c>
      <c r="AO24" s="192" t="s">
        <v>660</v>
      </c>
      <c r="AP24" s="192" t="s">
        <v>660</v>
      </c>
      <c r="AQ24" s="192" t="s">
        <v>660</v>
      </c>
      <c r="AR24" s="192" t="s">
        <v>660</v>
      </c>
      <c r="AS24" s="192" t="s">
        <v>660</v>
      </c>
      <c r="AT24" s="192" t="s">
        <v>660</v>
      </c>
      <c r="AU24" s="192" t="s">
        <v>660</v>
      </c>
      <c r="AV24" s="192" t="s">
        <v>660</v>
      </c>
      <c r="AW24" s="192" t="s">
        <v>660</v>
      </c>
      <c r="AX24" s="192" t="s">
        <v>660</v>
      </c>
      <c r="AY24" s="192" t="s">
        <v>660</v>
      </c>
      <c r="AZ24" s="192" t="s">
        <v>660</v>
      </c>
      <c r="BA24" s="192" t="s">
        <v>660</v>
      </c>
      <c r="BB24" s="192" t="s">
        <v>660</v>
      </c>
      <c r="BC24" s="192" t="s">
        <v>660</v>
      </c>
      <c r="BD24" s="192" t="s">
        <v>660</v>
      </c>
      <c r="BE24" s="192" t="s">
        <v>660</v>
      </c>
      <c r="BF24" s="192" t="s">
        <v>660</v>
      </c>
      <c r="BG24" s="192" t="s">
        <v>660</v>
      </c>
      <c r="BH24" s="192" t="s">
        <v>660</v>
      </c>
      <c r="BI24" s="192" t="s">
        <v>660</v>
      </c>
      <c r="BJ24" s="192" t="s">
        <v>660</v>
      </c>
      <c r="BK24" s="192" t="s">
        <v>660</v>
      </c>
      <c r="BL24" s="192" t="s">
        <v>660</v>
      </c>
      <c r="BM24" s="192" t="s">
        <v>660</v>
      </c>
      <c r="BN24" s="192" t="s">
        <v>660</v>
      </c>
      <c r="BO24" s="192" t="s">
        <v>660</v>
      </c>
      <c r="BP24" s="192" t="s">
        <v>660</v>
      </c>
      <c r="BQ24" s="192" t="s">
        <v>660</v>
      </c>
      <c r="BR24" s="192" t="s">
        <v>660</v>
      </c>
      <c r="BS24" s="192" t="s">
        <v>660</v>
      </c>
      <c r="BT24" s="192" t="s">
        <v>660</v>
      </c>
      <c r="BU24" s="192" t="s">
        <v>660</v>
      </c>
      <c r="BV24" s="192" t="s">
        <v>660</v>
      </c>
      <c r="BW24" s="192" t="s">
        <v>660</v>
      </c>
      <c r="BX24" s="192" t="s">
        <v>660</v>
      </c>
      <c r="BY24" s="192" t="s">
        <v>660</v>
      </c>
      <c r="BZ24" s="192" t="s">
        <v>660</v>
      </c>
      <c r="CA24" s="192" t="s">
        <v>660</v>
      </c>
      <c r="CB24" s="192" t="s">
        <v>660</v>
      </c>
      <c r="CC24" s="192" t="s">
        <v>660</v>
      </c>
      <c r="CD24" s="192" t="s">
        <v>660</v>
      </c>
      <c r="CE24" s="192" t="s">
        <v>660</v>
      </c>
      <c r="CF24" s="192" t="s">
        <v>660</v>
      </c>
      <c r="CG24" s="192" t="s">
        <v>660</v>
      </c>
      <c r="CH24" s="192" t="s">
        <v>660</v>
      </c>
      <c r="CI24" s="192" t="s">
        <v>660</v>
      </c>
      <c r="CJ24" s="192" t="s">
        <v>660</v>
      </c>
      <c r="CK24" s="192" t="s">
        <v>660</v>
      </c>
      <c r="CL24" s="192" t="s">
        <v>660</v>
      </c>
      <c r="CM24" s="192" t="s">
        <v>660</v>
      </c>
      <c r="CN24" s="192" t="s">
        <v>660</v>
      </c>
      <c r="CO24" s="192" t="s">
        <v>660</v>
      </c>
      <c r="CP24" s="192" t="s">
        <v>660</v>
      </c>
      <c r="CQ24" s="192" t="s">
        <v>660</v>
      </c>
      <c r="CR24" s="192" t="s">
        <v>660</v>
      </c>
      <c r="CS24" s="192" t="s">
        <v>660</v>
      </c>
      <c r="CT24" s="192" t="s">
        <v>660</v>
      </c>
      <c r="CU24" s="192" t="s">
        <v>660</v>
      </c>
      <c r="CV24" s="192" t="s">
        <v>660</v>
      </c>
      <c r="CW24" s="192" t="s">
        <v>660</v>
      </c>
      <c r="CX24" s="192" t="s">
        <v>660</v>
      </c>
      <c r="CY24" s="192" t="s">
        <v>660</v>
      </c>
      <c r="CZ24" s="192" t="s">
        <v>660</v>
      </c>
      <c r="DA24" s="192" t="s">
        <v>660</v>
      </c>
      <c r="DB24" s="192" t="s">
        <v>660</v>
      </c>
      <c r="DC24" s="192" t="s">
        <v>660</v>
      </c>
      <c r="DD24" s="192" t="s">
        <v>660</v>
      </c>
      <c r="DE24" s="192" t="s">
        <v>660</v>
      </c>
      <c r="DF24" s="192" t="s">
        <v>660</v>
      </c>
      <c r="DG24" s="192" t="s">
        <v>660</v>
      </c>
      <c r="DH24" s="192" t="s">
        <v>660</v>
      </c>
      <c r="DI24" s="192" t="s">
        <v>660</v>
      </c>
      <c r="DJ24" s="192" t="s">
        <v>660</v>
      </c>
      <c r="DK24" s="192" t="s">
        <v>660</v>
      </c>
      <c r="DL24" s="192" t="s">
        <v>660</v>
      </c>
      <c r="DM24" s="192" t="s">
        <v>660</v>
      </c>
      <c r="DN24" s="192" t="s">
        <v>660</v>
      </c>
      <c r="DO24" s="192" t="s">
        <v>660</v>
      </c>
      <c r="DP24" s="192" t="s">
        <v>660</v>
      </c>
      <c r="DQ24" s="192" t="s">
        <v>660</v>
      </c>
      <c r="DR24" s="192" t="s">
        <v>660</v>
      </c>
      <c r="DS24" s="192" t="s">
        <v>660</v>
      </c>
      <c r="DT24" s="192" t="s">
        <v>660</v>
      </c>
      <c r="DU24" s="192" t="s">
        <v>660</v>
      </c>
      <c r="DV24" s="192" t="s">
        <v>660</v>
      </c>
      <c r="DW24" s="192" t="s">
        <v>660</v>
      </c>
      <c r="DX24" s="192" t="s">
        <v>660</v>
      </c>
      <c r="DY24" s="192" t="s">
        <v>660</v>
      </c>
      <c r="DZ24" s="192" t="s">
        <v>660</v>
      </c>
      <c r="EA24" s="192" t="s">
        <v>660</v>
      </c>
      <c r="EB24" s="192" t="s">
        <v>660</v>
      </c>
      <c r="EC24" s="192" t="s">
        <v>660</v>
      </c>
      <c r="ED24" s="192" t="s">
        <v>660</v>
      </c>
      <c r="EE24" s="192" t="s">
        <v>660</v>
      </c>
      <c r="EF24" s="192" t="s">
        <v>660</v>
      </c>
      <c r="EG24" s="192" t="s">
        <v>660</v>
      </c>
      <c r="EH24" s="192" t="s">
        <v>660</v>
      </c>
      <c r="EI24" s="192" t="s">
        <v>660</v>
      </c>
      <c r="EJ24" s="192" t="s">
        <v>660</v>
      </c>
      <c r="EK24" s="192" t="s">
        <v>660</v>
      </c>
      <c r="EL24" s="192" t="s">
        <v>660</v>
      </c>
      <c r="EM24" s="192" t="s">
        <v>660</v>
      </c>
      <c r="EN24" s="192" t="s">
        <v>660</v>
      </c>
      <c r="EO24" s="192" t="s">
        <v>660</v>
      </c>
      <c r="EP24" s="192" t="s">
        <v>660</v>
      </c>
      <c r="EQ24" s="192" t="s">
        <v>660</v>
      </c>
      <c r="ER24" s="192" t="s">
        <v>660</v>
      </c>
      <c r="ES24" s="192" t="s">
        <v>660</v>
      </c>
      <c r="ET24" s="192" t="s">
        <v>660</v>
      </c>
      <c r="EU24" s="192" t="s">
        <v>660</v>
      </c>
      <c r="EV24" s="192" t="s">
        <v>660</v>
      </c>
      <c r="EW24" s="192" t="s">
        <v>660</v>
      </c>
      <c r="EX24" s="192" t="s">
        <v>660</v>
      </c>
      <c r="EY24" s="192" t="s">
        <v>660</v>
      </c>
      <c r="EZ24" s="192" t="s">
        <v>660</v>
      </c>
      <c r="FA24" s="192" t="s">
        <v>660</v>
      </c>
      <c r="FB24" s="192" t="s">
        <v>660</v>
      </c>
      <c r="FC24" s="192" t="s">
        <v>660</v>
      </c>
      <c r="FD24" s="192" t="s">
        <v>660</v>
      </c>
      <c r="FE24" s="192" t="s">
        <v>660</v>
      </c>
      <c r="FF24" s="192" t="s">
        <v>660</v>
      </c>
      <c r="FG24" s="192" t="s">
        <v>660</v>
      </c>
      <c r="FH24" s="192" t="s">
        <v>660</v>
      </c>
      <c r="FI24" s="192" t="s">
        <v>674</v>
      </c>
      <c r="FJ24" s="192" t="s">
        <v>660</v>
      </c>
    </row>
    <row r="25" spans="1:166" ht="45">
      <c r="A25" s="196">
        <v>46120.099791666667</v>
      </c>
      <c r="B25" s="196">
        <v>46120.108993055554</v>
      </c>
      <c r="C25" s="192" t="s">
        <v>507</v>
      </c>
      <c r="D25" s="192" t="s">
        <v>921</v>
      </c>
      <c r="E25">
        <v>99</v>
      </c>
      <c r="F25">
        <v>794</v>
      </c>
      <c r="G25" s="192" t="s">
        <v>872</v>
      </c>
      <c r="H25" s="196">
        <v>46127.10901753472</v>
      </c>
      <c r="I25" s="192" t="s">
        <v>922</v>
      </c>
      <c r="J25" s="192" t="s">
        <v>660</v>
      </c>
      <c r="K25" s="192" t="s">
        <v>660</v>
      </c>
      <c r="L25" s="192" t="s">
        <v>660</v>
      </c>
      <c r="M25" s="192" t="s">
        <v>660</v>
      </c>
      <c r="N25">
        <v>-36.8504</v>
      </c>
      <c r="O25">
        <v>174.76750000000001</v>
      </c>
      <c r="P25" s="192" t="s">
        <v>661</v>
      </c>
      <c r="Q25" s="192" t="s">
        <v>662</v>
      </c>
      <c r="R25" s="192" t="s">
        <v>14</v>
      </c>
      <c r="S25" s="192" t="s">
        <v>660</v>
      </c>
      <c r="T25" s="192" t="s">
        <v>660</v>
      </c>
      <c r="U25" s="192" t="s">
        <v>660</v>
      </c>
      <c r="V25" s="192" t="s">
        <v>660</v>
      </c>
      <c r="W25" s="192" t="s">
        <v>660</v>
      </c>
      <c r="X25" s="192" t="s">
        <v>660</v>
      </c>
      <c r="Y25" s="192" t="s">
        <v>660</v>
      </c>
      <c r="Z25" s="192" t="s">
        <v>660</v>
      </c>
      <c r="AA25" s="192" t="s">
        <v>660</v>
      </c>
      <c r="AB25" s="192" t="s">
        <v>660</v>
      </c>
      <c r="AC25" s="192" t="s">
        <v>660</v>
      </c>
      <c r="AD25" s="192" t="s">
        <v>660</v>
      </c>
      <c r="AE25" s="192" t="s">
        <v>660</v>
      </c>
      <c r="AF25" s="192" t="s">
        <v>660</v>
      </c>
      <c r="AG25" s="192" t="s">
        <v>660</v>
      </c>
      <c r="AH25" s="192" t="s">
        <v>660</v>
      </c>
      <c r="AI25" s="192" t="s">
        <v>660</v>
      </c>
      <c r="AJ25" s="192" t="s">
        <v>660</v>
      </c>
      <c r="AK25" s="192" t="s">
        <v>660</v>
      </c>
      <c r="AL25" s="192" t="s">
        <v>660</v>
      </c>
      <c r="AM25" s="192" t="s">
        <v>660</v>
      </c>
      <c r="AN25" s="192" t="s">
        <v>660</v>
      </c>
      <c r="AO25" s="192" t="s">
        <v>660</v>
      </c>
      <c r="AP25" s="192" t="s">
        <v>660</v>
      </c>
      <c r="AQ25" s="192" t="s">
        <v>660</v>
      </c>
      <c r="AR25" s="192" t="s">
        <v>660</v>
      </c>
      <c r="AS25" s="192" t="s">
        <v>660</v>
      </c>
      <c r="AT25" s="192" t="s">
        <v>660</v>
      </c>
      <c r="AU25" s="192" t="s">
        <v>660</v>
      </c>
      <c r="AV25" s="192" t="s">
        <v>660</v>
      </c>
      <c r="AW25" s="192" t="s">
        <v>660</v>
      </c>
      <c r="AX25" s="192" t="s">
        <v>660</v>
      </c>
      <c r="AY25" s="192" t="s">
        <v>660</v>
      </c>
      <c r="AZ25" s="192" t="s">
        <v>660</v>
      </c>
      <c r="BA25" s="192" t="s">
        <v>660</v>
      </c>
      <c r="BB25" s="192" t="s">
        <v>660</v>
      </c>
      <c r="BC25" s="192" t="s">
        <v>660</v>
      </c>
      <c r="BD25" s="192" t="s">
        <v>660</v>
      </c>
      <c r="BE25" s="192" t="s">
        <v>660</v>
      </c>
      <c r="BF25" s="192" t="s">
        <v>660</v>
      </c>
      <c r="BG25" s="192" t="s">
        <v>660</v>
      </c>
      <c r="BH25" s="192" t="s">
        <v>660</v>
      </c>
      <c r="BI25" s="192" t="s">
        <v>660</v>
      </c>
      <c r="BJ25" s="192" t="s">
        <v>660</v>
      </c>
      <c r="BK25" s="192" t="s">
        <v>660</v>
      </c>
      <c r="BL25" s="192" t="s">
        <v>660</v>
      </c>
      <c r="BM25" s="192" t="s">
        <v>660</v>
      </c>
      <c r="BN25" s="192" t="s">
        <v>660</v>
      </c>
      <c r="BO25" s="192" t="s">
        <v>660</v>
      </c>
      <c r="BP25" s="192" t="s">
        <v>660</v>
      </c>
      <c r="BQ25" s="192" t="s">
        <v>660</v>
      </c>
      <c r="BR25" s="192" t="s">
        <v>660</v>
      </c>
      <c r="BS25" s="192" t="s">
        <v>660</v>
      </c>
      <c r="BT25" s="192" t="s">
        <v>660</v>
      </c>
      <c r="BU25" s="192" t="s">
        <v>660</v>
      </c>
      <c r="BV25" s="192" t="s">
        <v>660</v>
      </c>
      <c r="BW25" s="192" t="s">
        <v>660</v>
      </c>
      <c r="BX25" s="192" t="s">
        <v>660</v>
      </c>
      <c r="BY25" s="192" t="s">
        <v>660</v>
      </c>
      <c r="BZ25" s="192" t="s">
        <v>660</v>
      </c>
      <c r="CA25" s="192" t="s">
        <v>660</v>
      </c>
      <c r="CB25" s="192" t="s">
        <v>660</v>
      </c>
      <c r="CC25" s="192" t="s">
        <v>660</v>
      </c>
      <c r="CD25" s="192" t="s">
        <v>660</v>
      </c>
      <c r="CE25" s="192" t="s">
        <v>660</v>
      </c>
      <c r="CF25" s="192" t="s">
        <v>660</v>
      </c>
      <c r="CG25" s="192" t="s">
        <v>660</v>
      </c>
      <c r="CH25" s="192" t="s">
        <v>660</v>
      </c>
      <c r="CI25" s="192" t="s">
        <v>660</v>
      </c>
      <c r="CJ25" s="192" t="s">
        <v>660</v>
      </c>
      <c r="CK25" s="192" t="s">
        <v>660</v>
      </c>
      <c r="CL25" s="192" t="s">
        <v>660</v>
      </c>
      <c r="CM25" s="192" t="s">
        <v>660</v>
      </c>
      <c r="CN25" s="192" t="s">
        <v>660</v>
      </c>
      <c r="CO25" s="192" t="s">
        <v>660</v>
      </c>
      <c r="CP25" s="192" t="s">
        <v>660</v>
      </c>
      <c r="CQ25" s="192" t="s">
        <v>660</v>
      </c>
      <c r="CR25" s="192" t="s">
        <v>660</v>
      </c>
      <c r="CS25" s="192" t="s">
        <v>660</v>
      </c>
      <c r="CT25" s="192" t="s">
        <v>660</v>
      </c>
      <c r="CU25" s="192" t="s">
        <v>660</v>
      </c>
      <c r="CV25" s="192" t="s">
        <v>660</v>
      </c>
      <c r="CW25" s="192" t="s">
        <v>660</v>
      </c>
      <c r="CX25" s="192" t="s">
        <v>660</v>
      </c>
      <c r="CY25" s="192" t="s">
        <v>660</v>
      </c>
      <c r="CZ25" s="192" t="s">
        <v>660</v>
      </c>
      <c r="DA25" s="192" t="s">
        <v>660</v>
      </c>
      <c r="DB25" s="192" t="s">
        <v>660</v>
      </c>
      <c r="DC25" s="192" t="s">
        <v>660</v>
      </c>
      <c r="DD25" s="192" t="s">
        <v>660</v>
      </c>
      <c r="DE25" s="192" t="s">
        <v>660</v>
      </c>
      <c r="DF25" s="192" t="s">
        <v>660</v>
      </c>
      <c r="DG25" s="192" t="s">
        <v>660</v>
      </c>
      <c r="DH25" s="192" t="s">
        <v>660</v>
      </c>
      <c r="DI25" s="192" t="s">
        <v>660</v>
      </c>
      <c r="DJ25" s="192" t="s">
        <v>660</v>
      </c>
      <c r="DK25" s="192" t="s">
        <v>660</v>
      </c>
      <c r="DL25" s="192" t="s">
        <v>660</v>
      </c>
      <c r="DM25" s="192" t="s">
        <v>660</v>
      </c>
      <c r="DN25" s="192" t="s">
        <v>660</v>
      </c>
      <c r="DO25" s="192" t="s">
        <v>660</v>
      </c>
      <c r="DP25" s="192" t="s">
        <v>660</v>
      </c>
      <c r="DQ25" s="192" t="s">
        <v>660</v>
      </c>
      <c r="DR25" s="192" t="s">
        <v>660</v>
      </c>
      <c r="DS25" s="192" t="s">
        <v>660</v>
      </c>
      <c r="DT25" s="192" t="s">
        <v>660</v>
      </c>
      <c r="DU25" s="192" t="s">
        <v>660</v>
      </c>
      <c r="DV25" s="192" t="s">
        <v>660</v>
      </c>
      <c r="DW25" s="192" t="s">
        <v>660</v>
      </c>
      <c r="DX25" s="192" t="s">
        <v>660</v>
      </c>
      <c r="DY25" s="192" t="s">
        <v>660</v>
      </c>
      <c r="DZ25" s="192" t="s">
        <v>660</v>
      </c>
      <c r="EA25" s="192" t="s">
        <v>660</v>
      </c>
      <c r="EB25" s="192" t="s">
        <v>660</v>
      </c>
      <c r="EC25" s="192" t="s">
        <v>660</v>
      </c>
      <c r="ED25" s="192" t="s">
        <v>660</v>
      </c>
      <c r="EE25" s="192" t="s">
        <v>660</v>
      </c>
      <c r="EF25" s="192" t="s">
        <v>660</v>
      </c>
      <c r="EG25" s="192" t="s">
        <v>660</v>
      </c>
      <c r="EH25" s="192" t="s">
        <v>660</v>
      </c>
      <c r="EI25" s="192" t="s">
        <v>660</v>
      </c>
      <c r="EJ25" s="192" t="s">
        <v>660</v>
      </c>
      <c r="EK25" s="192" t="s">
        <v>660</v>
      </c>
      <c r="EL25" s="192" t="s">
        <v>660</v>
      </c>
      <c r="EM25" s="192" t="s">
        <v>660</v>
      </c>
      <c r="EN25" s="192" t="s">
        <v>660</v>
      </c>
      <c r="EO25" s="192" t="s">
        <v>660</v>
      </c>
      <c r="EP25" s="192" t="s">
        <v>660</v>
      </c>
      <c r="EQ25" s="192" t="s">
        <v>660</v>
      </c>
      <c r="ER25" s="192" t="s">
        <v>660</v>
      </c>
      <c r="ES25" s="192" t="s">
        <v>660</v>
      </c>
      <c r="ET25" s="192" t="s">
        <v>660</v>
      </c>
      <c r="EU25" s="192" t="s">
        <v>660</v>
      </c>
      <c r="EV25" s="192" t="s">
        <v>660</v>
      </c>
      <c r="EW25" s="192" t="s">
        <v>660</v>
      </c>
      <c r="EX25" s="192" t="s">
        <v>660</v>
      </c>
      <c r="EY25" s="192" t="s">
        <v>660</v>
      </c>
      <c r="EZ25" s="192" t="s">
        <v>660</v>
      </c>
      <c r="FA25" s="192" t="s">
        <v>660</v>
      </c>
      <c r="FB25" s="192" t="s">
        <v>660</v>
      </c>
      <c r="FC25" s="192" t="s">
        <v>660</v>
      </c>
      <c r="FD25" s="192" t="s">
        <v>660</v>
      </c>
      <c r="FE25" s="192" t="s">
        <v>660</v>
      </c>
      <c r="FF25" s="192" t="s">
        <v>660</v>
      </c>
      <c r="FG25" s="192" t="s">
        <v>660</v>
      </c>
      <c r="FH25" s="192" t="s">
        <v>660</v>
      </c>
      <c r="FI25" s="192" t="s">
        <v>674</v>
      </c>
      <c r="FJ25" s="192" t="s">
        <v>660</v>
      </c>
    </row>
    <row r="26" spans="1:166" ht="45">
      <c r="A26" s="196">
        <v>46120.128009259257</v>
      </c>
      <c r="B26" s="196">
        <v>46120.128078703703</v>
      </c>
      <c r="C26" s="192" t="s">
        <v>507</v>
      </c>
      <c r="D26" s="192" t="s">
        <v>923</v>
      </c>
      <c r="E26">
        <v>1</v>
      </c>
      <c r="F26">
        <v>5</v>
      </c>
      <c r="G26" s="192" t="s">
        <v>872</v>
      </c>
      <c r="H26" s="196">
        <v>46127.128099733796</v>
      </c>
      <c r="I26" s="192" t="s">
        <v>924</v>
      </c>
      <c r="J26" s="192" t="s">
        <v>660</v>
      </c>
      <c r="K26" s="192" t="s">
        <v>660</v>
      </c>
      <c r="L26" s="192" t="s">
        <v>660</v>
      </c>
      <c r="M26" s="192" t="s">
        <v>660</v>
      </c>
      <c r="N26">
        <v>35.69</v>
      </c>
      <c r="O26">
        <v>139.69</v>
      </c>
      <c r="P26" s="192" t="s">
        <v>661</v>
      </c>
      <c r="Q26" s="192" t="s">
        <v>662</v>
      </c>
      <c r="R26" s="192" t="s">
        <v>660</v>
      </c>
      <c r="S26" s="192" t="s">
        <v>660</v>
      </c>
      <c r="T26" s="192" t="s">
        <v>660</v>
      </c>
      <c r="U26" s="192" t="s">
        <v>660</v>
      </c>
      <c r="V26" s="192" t="s">
        <v>660</v>
      </c>
      <c r="W26" s="192" t="s">
        <v>660</v>
      </c>
      <c r="X26" s="192" t="s">
        <v>660</v>
      </c>
      <c r="Y26" s="192" t="s">
        <v>660</v>
      </c>
      <c r="Z26" s="192" t="s">
        <v>660</v>
      </c>
      <c r="AA26" s="192" t="s">
        <v>660</v>
      </c>
      <c r="AB26" s="192" t="s">
        <v>660</v>
      </c>
      <c r="AC26" s="192" t="s">
        <v>660</v>
      </c>
      <c r="AD26" s="192" t="s">
        <v>660</v>
      </c>
      <c r="AE26" s="192" t="s">
        <v>660</v>
      </c>
      <c r="AF26" s="192" t="s">
        <v>660</v>
      </c>
      <c r="AG26" s="192" t="s">
        <v>660</v>
      </c>
      <c r="AH26" s="192" t="s">
        <v>660</v>
      </c>
      <c r="AI26" s="192" t="s">
        <v>660</v>
      </c>
      <c r="AJ26" s="192" t="s">
        <v>660</v>
      </c>
      <c r="AK26" s="192" t="s">
        <v>660</v>
      </c>
      <c r="AL26" s="192" t="s">
        <v>660</v>
      </c>
      <c r="AM26" s="192" t="s">
        <v>660</v>
      </c>
      <c r="AN26" s="192" t="s">
        <v>660</v>
      </c>
      <c r="AO26" s="192" t="s">
        <v>660</v>
      </c>
      <c r="AP26" s="192" t="s">
        <v>660</v>
      </c>
      <c r="AQ26" s="192" t="s">
        <v>660</v>
      </c>
      <c r="AR26" s="192" t="s">
        <v>660</v>
      </c>
      <c r="AS26" s="192" t="s">
        <v>660</v>
      </c>
      <c r="AT26" s="192" t="s">
        <v>660</v>
      </c>
      <c r="AU26" s="192" t="s">
        <v>660</v>
      </c>
      <c r="AV26" s="192" t="s">
        <v>660</v>
      </c>
      <c r="AW26" s="192" t="s">
        <v>660</v>
      </c>
      <c r="AX26" s="192" t="s">
        <v>660</v>
      </c>
      <c r="AY26" s="192" t="s">
        <v>660</v>
      </c>
      <c r="AZ26" s="192" t="s">
        <v>660</v>
      </c>
      <c r="BA26" s="192" t="s">
        <v>660</v>
      </c>
      <c r="BB26" s="192" t="s">
        <v>660</v>
      </c>
      <c r="BC26" s="192" t="s">
        <v>660</v>
      </c>
      <c r="BD26" s="192" t="s">
        <v>660</v>
      </c>
      <c r="BE26" s="192" t="s">
        <v>660</v>
      </c>
      <c r="BF26" s="192" t="s">
        <v>660</v>
      </c>
      <c r="BG26" s="192" t="s">
        <v>660</v>
      </c>
      <c r="BH26" s="192" t="s">
        <v>660</v>
      </c>
      <c r="BI26" s="192" t="s">
        <v>660</v>
      </c>
      <c r="BJ26" s="192" t="s">
        <v>660</v>
      </c>
      <c r="BK26" s="192" t="s">
        <v>660</v>
      </c>
      <c r="BL26" s="192" t="s">
        <v>660</v>
      </c>
      <c r="BM26" s="192" t="s">
        <v>660</v>
      </c>
      <c r="BN26" s="192" t="s">
        <v>660</v>
      </c>
      <c r="BO26" s="192" t="s">
        <v>660</v>
      </c>
      <c r="BP26" s="192" t="s">
        <v>660</v>
      </c>
      <c r="BQ26" s="192" t="s">
        <v>660</v>
      </c>
      <c r="BR26" s="192" t="s">
        <v>660</v>
      </c>
      <c r="BS26" s="192" t="s">
        <v>660</v>
      </c>
      <c r="BT26" s="192" t="s">
        <v>660</v>
      </c>
      <c r="BU26" s="192" t="s">
        <v>660</v>
      </c>
      <c r="BV26" s="192" t="s">
        <v>660</v>
      </c>
      <c r="BW26" s="192" t="s">
        <v>660</v>
      </c>
      <c r="BX26" s="192" t="s">
        <v>660</v>
      </c>
      <c r="BY26" s="192" t="s">
        <v>660</v>
      </c>
      <c r="BZ26" s="192" t="s">
        <v>660</v>
      </c>
      <c r="CA26" s="192" t="s">
        <v>660</v>
      </c>
      <c r="CB26" s="192" t="s">
        <v>660</v>
      </c>
      <c r="CC26" s="192" t="s">
        <v>660</v>
      </c>
      <c r="CD26" s="192" t="s">
        <v>660</v>
      </c>
      <c r="CE26" s="192" t="s">
        <v>660</v>
      </c>
      <c r="CF26" s="192" t="s">
        <v>660</v>
      </c>
      <c r="CG26" s="192" t="s">
        <v>660</v>
      </c>
      <c r="CH26" s="192" t="s">
        <v>660</v>
      </c>
      <c r="CI26" s="192" t="s">
        <v>660</v>
      </c>
      <c r="CJ26" s="192" t="s">
        <v>660</v>
      </c>
      <c r="CK26" s="192" t="s">
        <v>660</v>
      </c>
      <c r="CL26" s="192" t="s">
        <v>660</v>
      </c>
      <c r="CM26" s="192" t="s">
        <v>660</v>
      </c>
      <c r="CN26" s="192" t="s">
        <v>660</v>
      </c>
      <c r="CO26" s="192" t="s">
        <v>660</v>
      </c>
      <c r="CP26" s="192" t="s">
        <v>660</v>
      </c>
      <c r="CQ26" s="192" t="s">
        <v>660</v>
      </c>
      <c r="CR26" s="192" t="s">
        <v>660</v>
      </c>
      <c r="CS26" s="192" t="s">
        <v>660</v>
      </c>
      <c r="CT26" s="192" t="s">
        <v>660</v>
      </c>
      <c r="CU26" s="192" t="s">
        <v>660</v>
      </c>
      <c r="CV26" s="192" t="s">
        <v>660</v>
      </c>
      <c r="CW26" s="192" t="s">
        <v>660</v>
      </c>
      <c r="CX26" s="192" t="s">
        <v>660</v>
      </c>
      <c r="CY26" s="192" t="s">
        <v>660</v>
      </c>
      <c r="CZ26" s="192" t="s">
        <v>660</v>
      </c>
      <c r="DA26" s="192" t="s">
        <v>660</v>
      </c>
      <c r="DB26" s="192" t="s">
        <v>660</v>
      </c>
      <c r="DC26" s="192" t="s">
        <v>660</v>
      </c>
      <c r="DD26" s="192" t="s">
        <v>660</v>
      </c>
      <c r="DE26" s="192" t="s">
        <v>660</v>
      </c>
      <c r="DF26" s="192" t="s">
        <v>660</v>
      </c>
      <c r="DG26" s="192" t="s">
        <v>660</v>
      </c>
      <c r="DH26" s="192" t="s">
        <v>660</v>
      </c>
      <c r="DI26" s="192" t="s">
        <v>660</v>
      </c>
      <c r="DJ26" s="192" t="s">
        <v>660</v>
      </c>
      <c r="DK26" s="192" t="s">
        <v>660</v>
      </c>
      <c r="DL26" s="192" t="s">
        <v>660</v>
      </c>
      <c r="DM26" s="192" t="s">
        <v>660</v>
      </c>
      <c r="DN26" s="192" t="s">
        <v>660</v>
      </c>
      <c r="DO26" s="192" t="s">
        <v>660</v>
      </c>
      <c r="DP26" s="192" t="s">
        <v>660</v>
      </c>
      <c r="DQ26" s="192" t="s">
        <v>660</v>
      </c>
      <c r="DR26" s="192" t="s">
        <v>660</v>
      </c>
      <c r="DS26" s="192" t="s">
        <v>660</v>
      </c>
      <c r="DT26" s="192" t="s">
        <v>660</v>
      </c>
      <c r="DU26" s="192" t="s">
        <v>660</v>
      </c>
      <c r="DV26" s="192" t="s">
        <v>660</v>
      </c>
      <c r="DW26" s="192" t="s">
        <v>660</v>
      </c>
      <c r="DX26" s="192" t="s">
        <v>660</v>
      </c>
      <c r="DY26" s="192" t="s">
        <v>660</v>
      </c>
      <c r="DZ26" s="192" t="s">
        <v>660</v>
      </c>
      <c r="EA26" s="192" t="s">
        <v>660</v>
      </c>
      <c r="EB26" s="192" t="s">
        <v>660</v>
      </c>
      <c r="EC26" s="192" t="s">
        <v>660</v>
      </c>
      <c r="ED26" s="192" t="s">
        <v>660</v>
      </c>
      <c r="EE26" s="192" t="s">
        <v>660</v>
      </c>
      <c r="EF26" s="192" t="s">
        <v>660</v>
      </c>
      <c r="EG26" s="192" t="s">
        <v>660</v>
      </c>
      <c r="EH26" s="192" t="s">
        <v>660</v>
      </c>
      <c r="EI26" s="192" t="s">
        <v>660</v>
      </c>
      <c r="EJ26" s="192" t="s">
        <v>660</v>
      </c>
      <c r="EK26" s="192" t="s">
        <v>660</v>
      </c>
      <c r="EL26" s="192" t="s">
        <v>660</v>
      </c>
      <c r="EM26" s="192" t="s">
        <v>660</v>
      </c>
      <c r="EN26" s="192" t="s">
        <v>660</v>
      </c>
      <c r="EO26" s="192" t="s">
        <v>660</v>
      </c>
      <c r="EP26" s="192" t="s">
        <v>660</v>
      </c>
      <c r="EQ26" s="192" t="s">
        <v>660</v>
      </c>
      <c r="ER26" s="192" t="s">
        <v>660</v>
      </c>
      <c r="ES26" s="192" t="s">
        <v>660</v>
      </c>
      <c r="ET26" s="192" t="s">
        <v>660</v>
      </c>
      <c r="EU26" s="192" t="s">
        <v>660</v>
      </c>
      <c r="EV26" s="192" t="s">
        <v>660</v>
      </c>
      <c r="EW26" s="192" t="s">
        <v>660</v>
      </c>
      <c r="EX26" s="192" t="s">
        <v>660</v>
      </c>
      <c r="EY26" s="192" t="s">
        <v>660</v>
      </c>
      <c r="EZ26" s="192" t="s">
        <v>660</v>
      </c>
      <c r="FA26" s="192" t="s">
        <v>660</v>
      </c>
      <c r="FB26" s="192" t="s">
        <v>660</v>
      </c>
      <c r="FC26" s="192" t="s">
        <v>660</v>
      </c>
      <c r="FD26" s="192" t="s">
        <v>660</v>
      </c>
      <c r="FE26" s="192" t="s">
        <v>660</v>
      </c>
      <c r="FF26" s="192" t="s">
        <v>660</v>
      </c>
      <c r="FG26" s="192" t="s">
        <v>660</v>
      </c>
      <c r="FH26" s="192" t="s">
        <v>660</v>
      </c>
      <c r="FI26" s="192" t="s">
        <v>674</v>
      </c>
      <c r="FJ26" s="192" t="s">
        <v>660</v>
      </c>
    </row>
    <row r="27" spans="1:166" ht="45">
      <c r="A27" s="196">
        <v>46120.371608796297</v>
      </c>
      <c r="B27" s="196">
        <v>46120.371747685182</v>
      </c>
      <c r="C27" s="192" t="s">
        <v>507</v>
      </c>
      <c r="D27" s="192" t="s">
        <v>925</v>
      </c>
      <c r="E27">
        <v>1</v>
      </c>
      <c r="F27">
        <v>12</v>
      </c>
      <c r="G27" s="192" t="s">
        <v>872</v>
      </c>
      <c r="H27" s="196">
        <v>46127.371772384256</v>
      </c>
      <c r="I27" s="192" t="s">
        <v>926</v>
      </c>
      <c r="J27" s="192" t="s">
        <v>660</v>
      </c>
      <c r="K27" s="192" t="s">
        <v>660</v>
      </c>
      <c r="L27" s="192" t="s">
        <v>660</v>
      </c>
      <c r="M27" s="192" t="s">
        <v>660</v>
      </c>
      <c r="N27">
        <v>37.5015</v>
      </c>
      <c r="O27">
        <v>127.0013</v>
      </c>
      <c r="P27" s="192" t="s">
        <v>897</v>
      </c>
      <c r="Q27" s="192" t="s">
        <v>662</v>
      </c>
      <c r="R27" s="192" t="s">
        <v>660</v>
      </c>
      <c r="S27" s="192" t="s">
        <v>660</v>
      </c>
      <c r="T27" s="192" t="s">
        <v>660</v>
      </c>
      <c r="U27" s="192" t="s">
        <v>660</v>
      </c>
      <c r="V27" s="192" t="s">
        <v>660</v>
      </c>
      <c r="W27" s="192" t="s">
        <v>660</v>
      </c>
      <c r="X27" s="192" t="s">
        <v>660</v>
      </c>
      <c r="Y27" s="192" t="s">
        <v>660</v>
      </c>
      <c r="Z27" s="192" t="s">
        <v>660</v>
      </c>
      <c r="AA27" s="192" t="s">
        <v>660</v>
      </c>
      <c r="AB27" s="192" t="s">
        <v>660</v>
      </c>
      <c r="AC27" s="192" t="s">
        <v>660</v>
      </c>
      <c r="AD27" s="192" t="s">
        <v>660</v>
      </c>
      <c r="AE27" s="192" t="s">
        <v>660</v>
      </c>
      <c r="AF27" s="192" t="s">
        <v>660</v>
      </c>
      <c r="AG27" s="192" t="s">
        <v>660</v>
      </c>
      <c r="AH27" s="192" t="s">
        <v>660</v>
      </c>
      <c r="AI27" s="192" t="s">
        <v>660</v>
      </c>
      <c r="AJ27" s="192" t="s">
        <v>660</v>
      </c>
      <c r="AK27" s="192" t="s">
        <v>660</v>
      </c>
      <c r="AL27" s="192" t="s">
        <v>660</v>
      </c>
      <c r="AM27" s="192" t="s">
        <v>660</v>
      </c>
      <c r="AN27" s="192" t="s">
        <v>660</v>
      </c>
      <c r="AO27" s="192" t="s">
        <v>660</v>
      </c>
      <c r="AP27" s="192" t="s">
        <v>660</v>
      </c>
      <c r="AQ27" s="192" t="s">
        <v>660</v>
      </c>
      <c r="AR27" s="192" t="s">
        <v>660</v>
      </c>
      <c r="AS27" s="192" t="s">
        <v>660</v>
      </c>
      <c r="AT27" s="192" t="s">
        <v>660</v>
      </c>
      <c r="AU27" s="192" t="s">
        <v>660</v>
      </c>
      <c r="AV27" s="192" t="s">
        <v>660</v>
      </c>
      <c r="AW27" s="192" t="s">
        <v>660</v>
      </c>
      <c r="AX27" s="192" t="s">
        <v>660</v>
      </c>
      <c r="AY27" s="192" t="s">
        <v>660</v>
      </c>
      <c r="AZ27" s="192" t="s">
        <v>660</v>
      </c>
      <c r="BA27" s="192" t="s">
        <v>660</v>
      </c>
      <c r="BB27" s="192" t="s">
        <v>660</v>
      </c>
      <c r="BC27" s="192" t="s">
        <v>660</v>
      </c>
      <c r="BD27" s="192" t="s">
        <v>660</v>
      </c>
      <c r="BE27" s="192" t="s">
        <v>660</v>
      </c>
      <c r="BF27" s="192" t="s">
        <v>660</v>
      </c>
      <c r="BG27" s="192" t="s">
        <v>660</v>
      </c>
      <c r="BH27" s="192" t="s">
        <v>660</v>
      </c>
      <c r="BI27" s="192" t="s">
        <v>660</v>
      </c>
      <c r="BJ27" s="192" t="s">
        <v>660</v>
      </c>
      <c r="BK27" s="192" t="s">
        <v>660</v>
      </c>
      <c r="BL27" s="192" t="s">
        <v>660</v>
      </c>
      <c r="BM27" s="192" t="s">
        <v>660</v>
      </c>
      <c r="BN27" s="192" t="s">
        <v>660</v>
      </c>
      <c r="BO27" s="192" t="s">
        <v>660</v>
      </c>
      <c r="BP27" s="192" t="s">
        <v>660</v>
      </c>
      <c r="BQ27" s="192" t="s">
        <v>660</v>
      </c>
      <c r="BR27" s="192" t="s">
        <v>660</v>
      </c>
      <c r="BS27" s="192" t="s">
        <v>660</v>
      </c>
      <c r="BT27" s="192" t="s">
        <v>660</v>
      </c>
      <c r="BU27" s="192" t="s">
        <v>660</v>
      </c>
      <c r="BV27" s="192" t="s">
        <v>660</v>
      </c>
      <c r="BW27" s="192" t="s">
        <v>660</v>
      </c>
      <c r="BX27" s="192" t="s">
        <v>660</v>
      </c>
      <c r="BY27" s="192" t="s">
        <v>660</v>
      </c>
      <c r="BZ27" s="192" t="s">
        <v>660</v>
      </c>
      <c r="CA27" s="192" t="s">
        <v>660</v>
      </c>
      <c r="CB27" s="192" t="s">
        <v>660</v>
      </c>
      <c r="CC27" s="192" t="s">
        <v>660</v>
      </c>
      <c r="CD27" s="192" t="s">
        <v>660</v>
      </c>
      <c r="CE27" s="192" t="s">
        <v>660</v>
      </c>
      <c r="CF27" s="192" t="s">
        <v>660</v>
      </c>
      <c r="CG27" s="192" t="s">
        <v>660</v>
      </c>
      <c r="CH27" s="192" t="s">
        <v>660</v>
      </c>
      <c r="CI27" s="192" t="s">
        <v>660</v>
      </c>
      <c r="CJ27" s="192" t="s">
        <v>660</v>
      </c>
      <c r="CK27" s="192" t="s">
        <v>660</v>
      </c>
      <c r="CL27" s="192" t="s">
        <v>660</v>
      </c>
      <c r="CM27" s="192" t="s">
        <v>660</v>
      </c>
      <c r="CN27" s="192" t="s">
        <v>660</v>
      </c>
      <c r="CO27" s="192" t="s">
        <v>660</v>
      </c>
      <c r="CP27" s="192" t="s">
        <v>660</v>
      </c>
      <c r="CQ27" s="192" t="s">
        <v>660</v>
      </c>
      <c r="CR27" s="192" t="s">
        <v>660</v>
      </c>
      <c r="CS27" s="192" t="s">
        <v>660</v>
      </c>
      <c r="CT27" s="192" t="s">
        <v>660</v>
      </c>
      <c r="CU27" s="192" t="s">
        <v>660</v>
      </c>
      <c r="CV27" s="192" t="s">
        <v>660</v>
      </c>
      <c r="CW27" s="192" t="s">
        <v>660</v>
      </c>
      <c r="CX27" s="192" t="s">
        <v>660</v>
      </c>
      <c r="CY27" s="192" t="s">
        <v>660</v>
      </c>
      <c r="CZ27" s="192" t="s">
        <v>660</v>
      </c>
      <c r="DA27" s="192" t="s">
        <v>660</v>
      </c>
      <c r="DB27" s="192" t="s">
        <v>660</v>
      </c>
      <c r="DC27" s="192" t="s">
        <v>660</v>
      </c>
      <c r="DD27" s="192" t="s">
        <v>660</v>
      </c>
      <c r="DE27" s="192" t="s">
        <v>660</v>
      </c>
      <c r="DF27" s="192" t="s">
        <v>660</v>
      </c>
      <c r="DG27" s="192" t="s">
        <v>660</v>
      </c>
      <c r="DH27" s="192" t="s">
        <v>660</v>
      </c>
      <c r="DI27" s="192" t="s">
        <v>660</v>
      </c>
      <c r="DJ27" s="192" t="s">
        <v>660</v>
      </c>
      <c r="DK27" s="192" t="s">
        <v>660</v>
      </c>
      <c r="DL27" s="192" t="s">
        <v>660</v>
      </c>
      <c r="DM27" s="192" t="s">
        <v>660</v>
      </c>
      <c r="DN27" s="192" t="s">
        <v>660</v>
      </c>
      <c r="DO27" s="192" t="s">
        <v>660</v>
      </c>
      <c r="DP27" s="192" t="s">
        <v>660</v>
      </c>
      <c r="DQ27" s="192" t="s">
        <v>660</v>
      </c>
      <c r="DR27" s="192" t="s">
        <v>660</v>
      </c>
      <c r="DS27" s="192" t="s">
        <v>660</v>
      </c>
      <c r="DT27" s="192" t="s">
        <v>660</v>
      </c>
      <c r="DU27" s="192" t="s">
        <v>660</v>
      </c>
      <c r="DV27" s="192" t="s">
        <v>660</v>
      </c>
      <c r="DW27" s="192" t="s">
        <v>660</v>
      </c>
      <c r="DX27" s="192" t="s">
        <v>660</v>
      </c>
      <c r="DY27" s="192" t="s">
        <v>660</v>
      </c>
      <c r="DZ27" s="192" t="s">
        <v>660</v>
      </c>
      <c r="EA27" s="192" t="s">
        <v>660</v>
      </c>
      <c r="EB27" s="192" t="s">
        <v>660</v>
      </c>
      <c r="EC27" s="192" t="s">
        <v>660</v>
      </c>
      <c r="ED27" s="192" t="s">
        <v>660</v>
      </c>
      <c r="EE27" s="192" t="s">
        <v>660</v>
      </c>
      <c r="EF27" s="192" t="s">
        <v>660</v>
      </c>
      <c r="EG27" s="192" t="s">
        <v>660</v>
      </c>
      <c r="EH27" s="192" t="s">
        <v>660</v>
      </c>
      <c r="EI27" s="192" t="s">
        <v>660</v>
      </c>
      <c r="EJ27" s="192" t="s">
        <v>660</v>
      </c>
      <c r="EK27" s="192" t="s">
        <v>660</v>
      </c>
      <c r="EL27" s="192" t="s">
        <v>660</v>
      </c>
      <c r="EM27" s="192" t="s">
        <v>660</v>
      </c>
      <c r="EN27" s="192" t="s">
        <v>660</v>
      </c>
      <c r="EO27" s="192" t="s">
        <v>660</v>
      </c>
      <c r="EP27" s="192" t="s">
        <v>660</v>
      </c>
      <c r="EQ27" s="192" t="s">
        <v>660</v>
      </c>
      <c r="ER27" s="192" t="s">
        <v>660</v>
      </c>
      <c r="ES27" s="192" t="s">
        <v>660</v>
      </c>
      <c r="ET27" s="192" t="s">
        <v>660</v>
      </c>
      <c r="EU27" s="192" t="s">
        <v>660</v>
      </c>
      <c r="EV27" s="192" t="s">
        <v>660</v>
      </c>
      <c r="EW27" s="192" t="s">
        <v>660</v>
      </c>
      <c r="EX27" s="192" t="s">
        <v>660</v>
      </c>
      <c r="EY27" s="192" t="s">
        <v>660</v>
      </c>
      <c r="EZ27" s="192" t="s">
        <v>660</v>
      </c>
      <c r="FA27" s="192" t="s">
        <v>660</v>
      </c>
      <c r="FB27" s="192" t="s">
        <v>660</v>
      </c>
      <c r="FC27" s="192" t="s">
        <v>660</v>
      </c>
      <c r="FD27" s="192" t="s">
        <v>660</v>
      </c>
      <c r="FE27" s="192" t="s">
        <v>660</v>
      </c>
      <c r="FF27" s="192" t="s">
        <v>660</v>
      </c>
      <c r="FG27" s="192" t="s">
        <v>660</v>
      </c>
      <c r="FH27" s="192" t="s">
        <v>660</v>
      </c>
      <c r="FI27" s="192" t="s">
        <v>674</v>
      </c>
      <c r="FJ27" s="192" t="s">
        <v>660</v>
      </c>
    </row>
    <row r="28" spans="1:166" ht="60">
      <c r="A28" s="196">
        <v>46120.410312499997</v>
      </c>
      <c r="B28" s="196">
        <v>46120.411273148151</v>
      </c>
      <c r="C28" s="192" t="s">
        <v>507</v>
      </c>
      <c r="D28" s="192" t="s">
        <v>927</v>
      </c>
      <c r="E28">
        <v>46</v>
      </c>
      <c r="F28">
        <v>82</v>
      </c>
      <c r="G28" s="192" t="s">
        <v>872</v>
      </c>
      <c r="H28" s="196">
        <v>46127.411309733798</v>
      </c>
      <c r="I28" s="192" t="s">
        <v>928</v>
      </c>
      <c r="J28" s="192" t="s">
        <v>660</v>
      </c>
      <c r="K28" s="192" t="s">
        <v>660</v>
      </c>
      <c r="L28" s="192" t="s">
        <v>660</v>
      </c>
      <c r="M28" s="192" t="s">
        <v>660</v>
      </c>
      <c r="N28">
        <v>35.0869</v>
      </c>
      <c r="O28">
        <v>128.8109</v>
      </c>
      <c r="P28" s="192" t="s">
        <v>661</v>
      </c>
      <c r="Q28" s="192" t="s">
        <v>662</v>
      </c>
      <c r="R28" s="192" t="s">
        <v>4</v>
      </c>
      <c r="S28" s="192" t="s">
        <v>929</v>
      </c>
      <c r="T28" s="192" t="s">
        <v>660</v>
      </c>
      <c r="U28" s="192" t="s">
        <v>660</v>
      </c>
      <c r="V28" s="192" t="s">
        <v>660</v>
      </c>
      <c r="W28" s="192" t="s">
        <v>660</v>
      </c>
      <c r="X28" s="192" t="s">
        <v>930</v>
      </c>
      <c r="Y28" s="192" t="s">
        <v>660</v>
      </c>
      <c r="Z28" s="192" t="s">
        <v>660</v>
      </c>
      <c r="AA28" s="192" t="s">
        <v>660</v>
      </c>
      <c r="AB28" s="192" t="s">
        <v>660</v>
      </c>
      <c r="AC28" s="192" t="s">
        <v>660</v>
      </c>
      <c r="AD28" s="192" t="s">
        <v>660</v>
      </c>
      <c r="AE28" s="192" t="s">
        <v>660</v>
      </c>
      <c r="AF28" s="192" t="s">
        <v>660</v>
      </c>
      <c r="AG28" s="192" t="s">
        <v>660</v>
      </c>
      <c r="AH28" s="192" t="s">
        <v>660</v>
      </c>
      <c r="AI28" s="192" t="s">
        <v>660</v>
      </c>
      <c r="AJ28" s="192" t="s">
        <v>660</v>
      </c>
      <c r="AK28" s="192" t="s">
        <v>660</v>
      </c>
      <c r="AL28" s="192" t="s">
        <v>660</v>
      </c>
      <c r="AM28" s="192" t="s">
        <v>660</v>
      </c>
      <c r="AN28" s="192" t="s">
        <v>660</v>
      </c>
      <c r="AO28" s="192" t="s">
        <v>660</v>
      </c>
      <c r="AP28" s="192" t="s">
        <v>660</v>
      </c>
      <c r="AQ28" s="192" t="s">
        <v>660</v>
      </c>
      <c r="AR28" s="192" t="s">
        <v>660</v>
      </c>
      <c r="AS28" s="192" t="s">
        <v>660</v>
      </c>
      <c r="AT28" s="192" t="s">
        <v>660</v>
      </c>
      <c r="AU28" s="192" t="s">
        <v>660</v>
      </c>
      <c r="AV28" s="192" t="s">
        <v>660</v>
      </c>
      <c r="AW28" s="192" t="s">
        <v>660</v>
      </c>
      <c r="AX28" s="192" t="s">
        <v>660</v>
      </c>
      <c r="AY28" s="192" t="s">
        <v>660</v>
      </c>
      <c r="AZ28" s="192" t="s">
        <v>660</v>
      </c>
      <c r="BA28" s="192" t="s">
        <v>660</v>
      </c>
      <c r="BB28" s="192" t="s">
        <v>660</v>
      </c>
      <c r="BC28" s="192" t="s">
        <v>660</v>
      </c>
      <c r="BD28" s="192" t="s">
        <v>660</v>
      </c>
      <c r="BE28" s="192" t="s">
        <v>660</v>
      </c>
      <c r="BF28" s="192" t="s">
        <v>660</v>
      </c>
      <c r="BG28" s="192" t="s">
        <v>660</v>
      </c>
      <c r="BH28" s="192" t="s">
        <v>660</v>
      </c>
      <c r="BI28" s="192" t="s">
        <v>660</v>
      </c>
      <c r="BJ28" s="192" t="s">
        <v>660</v>
      </c>
      <c r="BK28" s="192" t="s">
        <v>660</v>
      </c>
      <c r="BL28" s="192" t="s">
        <v>660</v>
      </c>
      <c r="BM28" s="192" t="s">
        <v>660</v>
      </c>
      <c r="BN28" s="192" t="s">
        <v>660</v>
      </c>
      <c r="BO28" s="192" t="s">
        <v>660</v>
      </c>
      <c r="BP28" s="192" t="s">
        <v>660</v>
      </c>
      <c r="BQ28" s="192" t="s">
        <v>660</v>
      </c>
      <c r="BR28" s="192" t="s">
        <v>660</v>
      </c>
      <c r="BS28" s="192" t="s">
        <v>660</v>
      </c>
      <c r="BT28" s="192" t="s">
        <v>660</v>
      </c>
      <c r="BU28" s="192" t="s">
        <v>660</v>
      </c>
      <c r="BV28" s="192" t="s">
        <v>660</v>
      </c>
      <c r="BW28" s="192" t="s">
        <v>660</v>
      </c>
      <c r="BX28" s="192" t="s">
        <v>660</v>
      </c>
      <c r="BY28" s="192" t="s">
        <v>660</v>
      </c>
      <c r="BZ28" s="192" t="s">
        <v>660</v>
      </c>
      <c r="CA28" s="192" t="s">
        <v>660</v>
      </c>
      <c r="CB28" s="192" t="s">
        <v>660</v>
      </c>
      <c r="CC28" s="192" t="s">
        <v>660</v>
      </c>
      <c r="CD28" s="192" t="s">
        <v>660</v>
      </c>
      <c r="CE28" s="192" t="s">
        <v>660</v>
      </c>
      <c r="CF28" s="192" t="s">
        <v>660</v>
      </c>
      <c r="CG28" s="192" t="s">
        <v>660</v>
      </c>
      <c r="CH28" s="192" t="s">
        <v>660</v>
      </c>
      <c r="CI28" s="192" t="s">
        <v>660</v>
      </c>
      <c r="CJ28" s="192" t="s">
        <v>660</v>
      </c>
      <c r="CK28" s="192" t="s">
        <v>660</v>
      </c>
      <c r="CL28" s="192" t="s">
        <v>660</v>
      </c>
      <c r="CM28" s="192" t="s">
        <v>660</v>
      </c>
      <c r="CN28" s="192" t="s">
        <v>660</v>
      </c>
      <c r="CO28" s="192" t="s">
        <v>660</v>
      </c>
      <c r="CP28" s="192" t="s">
        <v>660</v>
      </c>
      <c r="CQ28" s="192" t="s">
        <v>660</v>
      </c>
      <c r="CR28" s="192" t="s">
        <v>660</v>
      </c>
      <c r="CS28" s="192" t="s">
        <v>660</v>
      </c>
      <c r="CT28" s="192" t="s">
        <v>660</v>
      </c>
      <c r="CU28" s="192" t="s">
        <v>660</v>
      </c>
      <c r="CV28" s="192" t="s">
        <v>660</v>
      </c>
      <c r="CW28" s="192" t="s">
        <v>660</v>
      </c>
      <c r="CX28" s="192" t="s">
        <v>660</v>
      </c>
      <c r="CY28" s="192" t="s">
        <v>660</v>
      </c>
      <c r="CZ28" s="192" t="s">
        <v>660</v>
      </c>
      <c r="DA28" s="192" t="s">
        <v>660</v>
      </c>
      <c r="DB28" s="192" t="s">
        <v>660</v>
      </c>
      <c r="DC28" s="192" t="s">
        <v>660</v>
      </c>
      <c r="DD28" s="192" t="s">
        <v>660</v>
      </c>
      <c r="DE28" s="192" t="s">
        <v>660</v>
      </c>
      <c r="DF28" s="192" t="s">
        <v>660</v>
      </c>
      <c r="DG28" s="192" t="s">
        <v>660</v>
      </c>
      <c r="DH28" s="192" t="s">
        <v>660</v>
      </c>
      <c r="DI28" s="192" t="s">
        <v>660</v>
      </c>
      <c r="DJ28" s="192" t="s">
        <v>660</v>
      </c>
      <c r="DK28" s="192" t="s">
        <v>660</v>
      </c>
      <c r="DL28" s="192" t="s">
        <v>660</v>
      </c>
      <c r="DM28" s="192" t="s">
        <v>660</v>
      </c>
      <c r="DN28" s="192" t="s">
        <v>660</v>
      </c>
      <c r="DO28" s="192" t="s">
        <v>660</v>
      </c>
      <c r="DP28" s="192" t="s">
        <v>660</v>
      </c>
      <c r="DQ28" s="192" t="s">
        <v>660</v>
      </c>
      <c r="DR28" s="192" t="s">
        <v>660</v>
      </c>
      <c r="DS28" s="192" t="s">
        <v>660</v>
      </c>
      <c r="DT28" s="192" t="s">
        <v>660</v>
      </c>
      <c r="DU28" s="192" t="s">
        <v>660</v>
      </c>
      <c r="DV28" s="192" t="s">
        <v>660</v>
      </c>
      <c r="DW28" s="192" t="s">
        <v>660</v>
      </c>
      <c r="DX28" s="192" t="s">
        <v>660</v>
      </c>
      <c r="DY28" s="192" t="s">
        <v>660</v>
      </c>
      <c r="DZ28" s="192" t="s">
        <v>660</v>
      </c>
      <c r="EA28" s="192" t="s">
        <v>660</v>
      </c>
      <c r="EB28" s="192" t="s">
        <v>660</v>
      </c>
      <c r="EC28" s="192" t="s">
        <v>660</v>
      </c>
      <c r="ED28" s="192" t="s">
        <v>660</v>
      </c>
      <c r="EE28" s="192" t="s">
        <v>660</v>
      </c>
      <c r="EF28" s="192" t="s">
        <v>660</v>
      </c>
      <c r="EG28" s="192" t="s">
        <v>660</v>
      </c>
      <c r="EH28" s="192" t="s">
        <v>660</v>
      </c>
      <c r="EI28" s="192" t="s">
        <v>660</v>
      </c>
      <c r="EJ28" s="192" t="s">
        <v>660</v>
      </c>
      <c r="EK28" s="192" t="s">
        <v>660</v>
      </c>
      <c r="EL28" s="192" t="s">
        <v>660</v>
      </c>
      <c r="EM28" s="192" t="s">
        <v>660</v>
      </c>
      <c r="EN28" s="192" t="s">
        <v>660</v>
      </c>
      <c r="EO28" s="192" t="s">
        <v>660</v>
      </c>
      <c r="EP28" s="192" t="s">
        <v>660</v>
      </c>
      <c r="EQ28" s="192" t="s">
        <v>660</v>
      </c>
      <c r="ER28" s="192" t="s">
        <v>660</v>
      </c>
      <c r="ES28" s="192" t="s">
        <v>660</v>
      </c>
      <c r="ET28" s="192" t="s">
        <v>660</v>
      </c>
      <c r="EU28" s="192" t="s">
        <v>660</v>
      </c>
      <c r="EV28" s="192" t="s">
        <v>660</v>
      </c>
      <c r="EW28" s="192" t="s">
        <v>660</v>
      </c>
      <c r="EX28" s="192" t="s">
        <v>660</v>
      </c>
      <c r="EY28" s="192" t="s">
        <v>660</v>
      </c>
      <c r="EZ28" s="192" t="s">
        <v>660</v>
      </c>
      <c r="FA28" s="192" t="s">
        <v>660</v>
      </c>
      <c r="FB28" s="192" t="s">
        <v>660</v>
      </c>
      <c r="FC28" s="192" t="s">
        <v>660</v>
      </c>
      <c r="FD28" s="192" t="s">
        <v>660</v>
      </c>
      <c r="FE28" s="192" t="s">
        <v>660</v>
      </c>
      <c r="FF28" s="192" t="s">
        <v>660</v>
      </c>
      <c r="FG28" s="192" t="s">
        <v>660</v>
      </c>
      <c r="FH28" s="192" t="s">
        <v>660</v>
      </c>
      <c r="FI28" s="192" t="s">
        <v>674</v>
      </c>
      <c r="FJ28" s="192" t="s">
        <v>660</v>
      </c>
    </row>
    <row r="29" spans="1:166" ht="45">
      <c r="A29" s="196">
        <v>46120.483263888891</v>
      </c>
      <c r="B29" s="196">
        <v>46120.483865740738</v>
      </c>
      <c r="C29" s="192" t="s">
        <v>507</v>
      </c>
      <c r="D29" s="192" t="s">
        <v>765</v>
      </c>
      <c r="E29">
        <v>1</v>
      </c>
      <c r="F29">
        <v>52</v>
      </c>
      <c r="G29" s="192" t="s">
        <v>872</v>
      </c>
      <c r="H29" s="196">
        <v>46127.483918287035</v>
      </c>
      <c r="I29" s="192" t="s">
        <v>931</v>
      </c>
      <c r="J29" s="192" t="s">
        <v>660</v>
      </c>
      <c r="K29" s="192" t="s">
        <v>660</v>
      </c>
      <c r="L29" s="192" t="s">
        <v>660</v>
      </c>
      <c r="M29" s="192" t="s">
        <v>660</v>
      </c>
      <c r="N29">
        <v>52.229900000000001</v>
      </c>
      <c r="O29">
        <v>21.0093</v>
      </c>
      <c r="P29" s="192" t="s">
        <v>661</v>
      </c>
      <c r="Q29" s="192" t="s">
        <v>662</v>
      </c>
      <c r="R29" s="192" t="s">
        <v>660</v>
      </c>
      <c r="S29" s="192" t="s">
        <v>660</v>
      </c>
      <c r="T29" s="192" t="s">
        <v>660</v>
      </c>
      <c r="U29" s="192" t="s">
        <v>660</v>
      </c>
      <c r="V29" s="192" t="s">
        <v>660</v>
      </c>
      <c r="W29" s="192" t="s">
        <v>660</v>
      </c>
      <c r="X29" s="192" t="s">
        <v>660</v>
      </c>
      <c r="Y29" s="192" t="s">
        <v>660</v>
      </c>
      <c r="Z29" s="192" t="s">
        <v>660</v>
      </c>
      <c r="AA29" s="192" t="s">
        <v>660</v>
      </c>
      <c r="AB29" s="192" t="s">
        <v>660</v>
      </c>
      <c r="AC29" s="192" t="s">
        <v>660</v>
      </c>
      <c r="AD29" s="192" t="s">
        <v>660</v>
      </c>
      <c r="AE29" s="192" t="s">
        <v>660</v>
      </c>
      <c r="AF29" s="192" t="s">
        <v>660</v>
      </c>
      <c r="AG29" s="192" t="s">
        <v>660</v>
      </c>
      <c r="AH29" s="192" t="s">
        <v>660</v>
      </c>
      <c r="AI29" s="192" t="s">
        <v>660</v>
      </c>
      <c r="AJ29" s="192" t="s">
        <v>660</v>
      </c>
      <c r="AK29" s="192" t="s">
        <v>660</v>
      </c>
      <c r="AL29" s="192" t="s">
        <v>660</v>
      </c>
      <c r="AM29" s="192" t="s">
        <v>660</v>
      </c>
      <c r="AN29" s="192" t="s">
        <v>660</v>
      </c>
      <c r="AO29" s="192" t="s">
        <v>660</v>
      </c>
      <c r="AP29" s="192" t="s">
        <v>660</v>
      </c>
      <c r="AQ29" s="192" t="s">
        <v>660</v>
      </c>
      <c r="AR29" s="192" t="s">
        <v>660</v>
      </c>
      <c r="AS29" s="192" t="s">
        <v>660</v>
      </c>
      <c r="AT29" s="192" t="s">
        <v>660</v>
      </c>
      <c r="AU29" s="192" t="s">
        <v>660</v>
      </c>
      <c r="AV29" s="192" t="s">
        <v>660</v>
      </c>
      <c r="AW29" s="192" t="s">
        <v>660</v>
      </c>
      <c r="AX29" s="192" t="s">
        <v>660</v>
      </c>
      <c r="AY29" s="192" t="s">
        <v>660</v>
      </c>
      <c r="AZ29" s="192" t="s">
        <v>660</v>
      </c>
      <c r="BA29" s="192" t="s">
        <v>660</v>
      </c>
      <c r="BB29" s="192" t="s">
        <v>660</v>
      </c>
      <c r="BC29" s="192" t="s">
        <v>660</v>
      </c>
      <c r="BD29" s="192" t="s">
        <v>660</v>
      </c>
      <c r="BE29" s="192" t="s">
        <v>660</v>
      </c>
      <c r="BF29" s="192" t="s">
        <v>660</v>
      </c>
      <c r="BG29" s="192" t="s">
        <v>660</v>
      </c>
      <c r="BH29" s="192" t="s">
        <v>660</v>
      </c>
      <c r="BI29" s="192" t="s">
        <v>660</v>
      </c>
      <c r="BJ29" s="192" t="s">
        <v>660</v>
      </c>
      <c r="BK29" s="192" t="s">
        <v>660</v>
      </c>
      <c r="BL29" s="192" t="s">
        <v>660</v>
      </c>
      <c r="BM29" s="192" t="s">
        <v>660</v>
      </c>
      <c r="BN29" s="192" t="s">
        <v>660</v>
      </c>
      <c r="BO29" s="192" t="s">
        <v>660</v>
      </c>
      <c r="BP29" s="192" t="s">
        <v>660</v>
      </c>
      <c r="BQ29" s="192" t="s">
        <v>660</v>
      </c>
      <c r="BR29" s="192" t="s">
        <v>660</v>
      </c>
      <c r="BS29" s="192" t="s">
        <v>660</v>
      </c>
      <c r="BT29" s="192" t="s">
        <v>660</v>
      </c>
      <c r="BU29" s="192" t="s">
        <v>660</v>
      </c>
      <c r="BV29" s="192" t="s">
        <v>660</v>
      </c>
      <c r="BW29" s="192" t="s">
        <v>660</v>
      </c>
      <c r="BX29" s="192" t="s">
        <v>660</v>
      </c>
      <c r="BY29" s="192" t="s">
        <v>660</v>
      </c>
      <c r="BZ29" s="192" t="s">
        <v>660</v>
      </c>
      <c r="CA29" s="192" t="s">
        <v>660</v>
      </c>
      <c r="CB29" s="192" t="s">
        <v>660</v>
      </c>
      <c r="CC29" s="192" t="s">
        <v>660</v>
      </c>
      <c r="CD29" s="192" t="s">
        <v>660</v>
      </c>
      <c r="CE29" s="192" t="s">
        <v>660</v>
      </c>
      <c r="CF29" s="192" t="s">
        <v>660</v>
      </c>
      <c r="CG29" s="192" t="s">
        <v>660</v>
      </c>
      <c r="CH29" s="192" t="s">
        <v>660</v>
      </c>
      <c r="CI29" s="192" t="s">
        <v>660</v>
      </c>
      <c r="CJ29" s="192" t="s">
        <v>660</v>
      </c>
      <c r="CK29" s="192" t="s">
        <v>660</v>
      </c>
      <c r="CL29" s="192" t="s">
        <v>660</v>
      </c>
      <c r="CM29" s="192" t="s">
        <v>660</v>
      </c>
      <c r="CN29" s="192" t="s">
        <v>660</v>
      </c>
      <c r="CO29" s="192" t="s">
        <v>660</v>
      </c>
      <c r="CP29" s="192" t="s">
        <v>660</v>
      </c>
      <c r="CQ29" s="192" t="s">
        <v>660</v>
      </c>
      <c r="CR29" s="192" t="s">
        <v>660</v>
      </c>
      <c r="CS29" s="192" t="s">
        <v>660</v>
      </c>
      <c r="CT29" s="192" t="s">
        <v>660</v>
      </c>
      <c r="CU29" s="192" t="s">
        <v>660</v>
      </c>
      <c r="CV29" s="192" t="s">
        <v>660</v>
      </c>
      <c r="CW29" s="192" t="s">
        <v>660</v>
      </c>
      <c r="CX29" s="192" t="s">
        <v>660</v>
      </c>
      <c r="CY29" s="192" t="s">
        <v>660</v>
      </c>
      <c r="CZ29" s="192" t="s">
        <v>660</v>
      </c>
      <c r="DA29" s="192" t="s">
        <v>660</v>
      </c>
      <c r="DB29" s="192" t="s">
        <v>660</v>
      </c>
      <c r="DC29" s="192" t="s">
        <v>660</v>
      </c>
      <c r="DD29" s="192" t="s">
        <v>660</v>
      </c>
      <c r="DE29" s="192" t="s">
        <v>660</v>
      </c>
      <c r="DF29" s="192" t="s">
        <v>660</v>
      </c>
      <c r="DG29" s="192" t="s">
        <v>660</v>
      </c>
      <c r="DH29" s="192" t="s">
        <v>660</v>
      </c>
      <c r="DI29" s="192" t="s">
        <v>660</v>
      </c>
      <c r="DJ29" s="192" t="s">
        <v>660</v>
      </c>
      <c r="DK29" s="192" t="s">
        <v>660</v>
      </c>
      <c r="DL29" s="192" t="s">
        <v>660</v>
      </c>
      <c r="DM29" s="192" t="s">
        <v>660</v>
      </c>
      <c r="DN29" s="192" t="s">
        <v>660</v>
      </c>
      <c r="DO29" s="192" t="s">
        <v>660</v>
      </c>
      <c r="DP29" s="192" t="s">
        <v>660</v>
      </c>
      <c r="DQ29" s="192" t="s">
        <v>660</v>
      </c>
      <c r="DR29" s="192" t="s">
        <v>660</v>
      </c>
      <c r="DS29" s="192" t="s">
        <v>660</v>
      </c>
      <c r="DT29" s="192" t="s">
        <v>660</v>
      </c>
      <c r="DU29" s="192" t="s">
        <v>660</v>
      </c>
      <c r="DV29" s="192" t="s">
        <v>660</v>
      </c>
      <c r="DW29" s="192" t="s">
        <v>660</v>
      </c>
      <c r="DX29" s="192" t="s">
        <v>660</v>
      </c>
      <c r="DY29" s="192" t="s">
        <v>660</v>
      </c>
      <c r="DZ29" s="192" t="s">
        <v>660</v>
      </c>
      <c r="EA29" s="192" t="s">
        <v>660</v>
      </c>
      <c r="EB29" s="192" t="s">
        <v>660</v>
      </c>
      <c r="EC29" s="192" t="s">
        <v>660</v>
      </c>
      <c r="ED29" s="192" t="s">
        <v>660</v>
      </c>
      <c r="EE29" s="192" t="s">
        <v>660</v>
      </c>
      <c r="EF29" s="192" t="s">
        <v>660</v>
      </c>
      <c r="EG29" s="192" t="s">
        <v>660</v>
      </c>
      <c r="EH29" s="192" t="s">
        <v>660</v>
      </c>
      <c r="EI29" s="192" t="s">
        <v>660</v>
      </c>
      <c r="EJ29" s="192" t="s">
        <v>660</v>
      </c>
      <c r="EK29" s="192" t="s">
        <v>660</v>
      </c>
      <c r="EL29" s="192" t="s">
        <v>660</v>
      </c>
      <c r="EM29" s="192" t="s">
        <v>660</v>
      </c>
      <c r="EN29" s="192" t="s">
        <v>660</v>
      </c>
      <c r="EO29" s="192" t="s">
        <v>660</v>
      </c>
      <c r="EP29" s="192" t="s">
        <v>660</v>
      </c>
      <c r="EQ29" s="192" t="s">
        <v>660</v>
      </c>
      <c r="ER29" s="192" t="s">
        <v>660</v>
      </c>
      <c r="ES29" s="192" t="s">
        <v>660</v>
      </c>
      <c r="ET29" s="192" t="s">
        <v>660</v>
      </c>
      <c r="EU29" s="192" t="s">
        <v>660</v>
      </c>
      <c r="EV29" s="192" t="s">
        <v>660</v>
      </c>
      <c r="EW29" s="192" t="s">
        <v>660</v>
      </c>
      <c r="EX29" s="192" t="s">
        <v>660</v>
      </c>
      <c r="EY29" s="192" t="s">
        <v>660</v>
      </c>
      <c r="EZ29" s="192" t="s">
        <v>660</v>
      </c>
      <c r="FA29" s="192" t="s">
        <v>660</v>
      </c>
      <c r="FB29" s="192" t="s">
        <v>660</v>
      </c>
      <c r="FC29" s="192" t="s">
        <v>660</v>
      </c>
      <c r="FD29" s="192" t="s">
        <v>660</v>
      </c>
      <c r="FE29" s="192" t="s">
        <v>660</v>
      </c>
      <c r="FF29" s="192" t="s">
        <v>660</v>
      </c>
      <c r="FG29" s="192" t="s">
        <v>660</v>
      </c>
      <c r="FH29" s="192" t="s">
        <v>660</v>
      </c>
      <c r="FI29" s="192" t="s">
        <v>674</v>
      </c>
      <c r="FJ29" s="192" t="s">
        <v>660</v>
      </c>
    </row>
    <row r="30" spans="1:166" ht="45">
      <c r="A30" s="196">
        <v>46119.686249999999</v>
      </c>
      <c r="B30" s="196">
        <v>46120.544745370367</v>
      </c>
      <c r="C30" s="192" t="s">
        <v>507</v>
      </c>
      <c r="D30" s="192" t="s">
        <v>932</v>
      </c>
      <c r="E30">
        <v>0</v>
      </c>
      <c r="F30">
        <v>74173</v>
      </c>
      <c r="G30" s="192" t="s">
        <v>872</v>
      </c>
      <c r="H30" s="196">
        <v>46127.544822233795</v>
      </c>
      <c r="I30" s="192" t="s">
        <v>933</v>
      </c>
      <c r="J30" s="192" t="s">
        <v>660</v>
      </c>
      <c r="K30" s="192" t="s">
        <v>660</v>
      </c>
      <c r="L30" s="192" t="s">
        <v>660</v>
      </c>
      <c r="M30" s="192" t="s">
        <v>660</v>
      </c>
      <c r="N30">
        <v>40.415300000000002</v>
      </c>
      <c r="O30">
        <v>-3.694</v>
      </c>
      <c r="P30" s="192" t="s">
        <v>897</v>
      </c>
      <c r="Q30" s="192" t="s">
        <v>662</v>
      </c>
      <c r="R30" s="192" t="s">
        <v>660</v>
      </c>
      <c r="S30" s="192" t="s">
        <v>660</v>
      </c>
      <c r="T30" s="192" t="s">
        <v>660</v>
      </c>
      <c r="U30" s="192" t="s">
        <v>660</v>
      </c>
      <c r="V30" s="192" t="s">
        <v>660</v>
      </c>
      <c r="W30" s="192" t="s">
        <v>660</v>
      </c>
      <c r="X30" s="192" t="s">
        <v>660</v>
      </c>
      <c r="Y30" s="192" t="s">
        <v>660</v>
      </c>
      <c r="Z30" s="192" t="s">
        <v>660</v>
      </c>
      <c r="AA30" s="192" t="s">
        <v>660</v>
      </c>
      <c r="AB30" s="192" t="s">
        <v>660</v>
      </c>
      <c r="AC30" s="192" t="s">
        <v>660</v>
      </c>
      <c r="AD30" s="192" t="s">
        <v>660</v>
      </c>
      <c r="AE30" s="192" t="s">
        <v>660</v>
      </c>
      <c r="AF30" s="192" t="s">
        <v>660</v>
      </c>
      <c r="AG30" s="192" t="s">
        <v>660</v>
      </c>
      <c r="AH30" s="192" t="s">
        <v>660</v>
      </c>
      <c r="AI30" s="192" t="s">
        <v>660</v>
      </c>
      <c r="AJ30" s="192" t="s">
        <v>660</v>
      </c>
      <c r="AK30" s="192" t="s">
        <v>660</v>
      </c>
      <c r="AL30" s="192" t="s">
        <v>660</v>
      </c>
      <c r="AM30" s="192" t="s">
        <v>660</v>
      </c>
      <c r="AN30" s="192" t="s">
        <v>660</v>
      </c>
      <c r="AO30" s="192" t="s">
        <v>660</v>
      </c>
      <c r="AP30" s="192" t="s">
        <v>660</v>
      </c>
      <c r="AQ30" s="192" t="s">
        <v>660</v>
      </c>
      <c r="AR30" s="192" t="s">
        <v>660</v>
      </c>
      <c r="AS30" s="192" t="s">
        <v>660</v>
      </c>
      <c r="AT30" s="192" t="s">
        <v>660</v>
      </c>
      <c r="AU30" s="192" t="s">
        <v>660</v>
      </c>
      <c r="AV30" s="192" t="s">
        <v>660</v>
      </c>
      <c r="AW30" s="192" t="s">
        <v>660</v>
      </c>
      <c r="AX30" s="192" t="s">
        <v>660</v>
      </c>
      <c r="AY30" s="192" t="s">
        <v>660</v>
      </c>
      <c r="AZ30" s="192" t="s">
        <v>660</v>
      </c>
      <c r="BA30" s="192" t="s">
        <v>660</v>
      </c>
      <c r="BB30" s="192" t="s">
        <v>660</v>
      </c>
      <c r="BC30" s="192" t="s">
        <v>660</v>
      </c>
      <c r="BD30" s="192" t="s">
        <v>660</v>
      </c>
      <c r="BE30" s="192" t="s">
        <v>660</v>
      </c>
      <c r="BF30" s="192" t="s">
        <v>660</v>
      </c>
      <c r="BG30" s="192" t="s">
        <v>660</v>
      </c>
      <c r="BH30" s="192" t="s">
        <v>660</v>
      </c>
      <c r="BI30" s="192" t="s">
        <v>660</v>
      </c>
      <c r="BJ30" s="192" t="s">
        <v>660</v>
      </c>
      <c r="BK30" s="192" t="s">
        <v>660</v>
      </c>
      <c r="BL30" s="192" t="s">
        <v>660</v>
      </c>
      <c r="BM30" s="192" t="s">
        <v>660</v>
      </c>
      <c r="BN30" s="192" t="s">
        <v>660</v>
      </c>
      <c r="BO30" s="192" t="s">
        <v>660</v>
      </c>
      <c r="BP30" s="192" t="s">
        <v>660</v>
      </c>
      <c r="BQ30" s="192" t="s">
        <v>660</v>
      </c>
      <c r="BR30" s="192" t="s">
        <v>660</v>
      </c>
      <c r="BS30" s="192" t="s">
        <v>660</v>
      </c>
      <c r="BT30" s="192" t="s">
        <v>660</v>
      </c>
      <c r="BU30" s="192" t="s">
        <v>660</v>
      </c>
      <c r="BV30" s="192" t="s">
        <v>660</v>
      </c>
      <c r="BW30" s="192" t="s">
        <v>660</v>
      </c>
      <c r="BX30" s="192" t="s">
        <v>660</v>
      </c>
      <c r="BY30" s="192" t="s">
        <v>660</v>
      </c>
      <c r="BZ30" s="192" t="s">
        <v>660</v>
      </c>
      <c r="CA30" s="192" t="s">
        <v>660</v>
      </c>
      <c r="CB30" s="192" t="s">
        <v>660</v>
      </c>
      <c r="CC30" s="192" t="s">
        <v>660</v>
      </c>
      <c r="CD30" s="192" t="s">
        <v>660</v>
      </c>
      <c r="CE30" s="192" t="s">
        <v>660</v>
      </c>
      <c r="CF30" s="192" t="s">
        <v>660</v>
      </c>
      <c r="CG30" s="192" t="s">
        <v>660</v>
      </c>
      <c r="CH30" s="192" t="s">
        <v>660</v>
      </c>
      <c r="CI30" s="192" t="s">
        <v>660</v>
      </c>
      <c r="CJ30" s="192" t="s">
        <v>660</v>
      </c>
      <c r="CK30" s="192" t="s">
        <v>660</v>
      </c>
      <c r="CL30" s="192" t="s">
        <v>660</v>
      </c>
      <c r="CM30" s="192" t="s">
        <v>660</v>
      </c>
      <c r="CN30" s="192" t="s">
        <v>660</v>
      </c>
      <c r="CO30" s="192" t="s">
        <v>660</v>
      </c>
      <c r="CP30" s="192" t="s">
        <v>660</v>
      </c>
      <c r="CQ30" s="192" t="s">
        <v>660</v>
      </c>
      <c r="CR30" s="192" t="s">
        <v>660</v>
      </c>
      <c r="CS30" s="192" t="s">
        <v>660</v>
      </c>
      <c r="CT30" s="192" t="s">
        <v>660</v>
      </c>
      <c r="CU30" s="192" t="s">
        <v>660</v>
      </c>
      <c r="CV30" s="192" t="s">
        <v>660</v>
      </c>
      <c r="CW30" s="192" t="s">
        <v>660</v>
      </c>
      <c r="CX30" s="192" t="s">
        <v>660</v>
      </c>
      <c r="CY30" s="192" t="s">
        <v>660</v>
      </c>
      <c r="CZ30" s="192" t="s">
        <v>660</v>
      </c>
      <c r="DA30" s="192" t="s">
        <v>660</v>
      </c>
      <c r="DB30" s="192" t="s">
        <v>660</v>
      </c>
      <c r="DC30" s="192" t="s">
        <v>660</v>
      </c>
      <c r="DD30" s="192" t="s">
        <v>660</v>
      </c>
      <c r="DE30" s="192" t="s">
        <v>660</v>
      </c>
      <c r="DF30" s="192" t="s">
        <v>660</v>
      </c>
      <c r="DG30" s="192" t="s">
        <v>660</v>
      </c>
      <c r="DH30" s="192" t="s">
        <v>660</v>
      </c>
      <c r="DI30" s="192" t="s">
        <v>660</v>
      </c>
      <c r="DJ30" s="192" t="s">
        <v>660</v>
      </c>
      <c r="DK30" s="192" t="s">
        <v>660</v>
      </c>
      <c r="DL30" s="192" t="s">
        <v>660</v>
      </c>
      <c r="DM30" s="192" t="s">
        <v>660</v>
      </c>
      <c r="DN30" s="192" t="s">
        <v>660</v>
      </c>
      <c r="DO30" s="192" t="s">
        <v>660</v>
      </c>
      <c r="DP30" s="192" t="s">
        <v>660</v>
      </c>
      <c r="DQ30" s="192" t="s">
        <v>660</v>
      </c>
      <c r="DR30" s="192" t="s">
        <v>660</v>
      </c>
      <c r="DS30" s="192" t="s">
        <v>660</v>
      </c>
      <c r="DT30" s="192" t="s">
        <v>660</v>
      </c>
      <c r="DU30" s="192" t="s">
        <v>660</v>
      </c>
      <c r="DV30" s="192" t="s">
        <v>660</v>
      </c>
      <c r="DW30" s="192" t="s">
        <v>660</v>
      </c>
      <c r="DX30" s="192" t="s">
        <v>660</v>
      </c>
      <c r="DY30" s="192" t="s">
        <v>660</v>
      </c>
      <c r="DZ30" s="192" t="s">
        <v>660</v>
      </c>
      <c r="EA30" s="192" t="s">
        <v>660</v>
      </c>
      <c r="EB30" s="192" t="s">
        <v>660</v>
      </c>
      <c r="EC30" s="192" t="s">
        <v>660</v>
      </c>
      <c r="ED30" s="192" t="s">
        <v>660</v>
      </c>
      <c r="EE30" s="192" t="s">
        <v>660</v>
      </c>
      <c r="EF30" s="192" t="s">
        <v>660</v>
      </c>
      <c r="EG30" s="192" t="s">
        <v>660</v>
      </c>
      <c r="EH30" s="192" t="s">
        <v>660</v>
      </c>
      <c r="EI30" s="192" t="s">
        <v>660</v>
      </c>
      <c r="EJ30" s="192" t="s">
        <v>660</v>
      </c>
      <c r="EK30" s="192" t="s">
        <v>660</v>
      </c>
      <c r="EL30" s="192" t="s">
        <v>660</v>
      </c>
      <c r="EM30" s="192" t="s">
        <v>660</v>
      </c>
      <c r="EN30" s="192" t="s">
        <v>660</v>
      </c>
      <c r="EO30" s="192" t="s">
        <v>660</v>
      </c>
      <c r="EP30" s="192" t="s">
        <v>660</v>
      </c>
      <c r="EQ30" s="192" t="s">
        <v>660</v>
      </c>
      <c r="ER30" s="192" t="s">
        <v>660</v>
      </c>
      <c r="ES30" s="192" t="s">
        <v>660</v>
      </c>
      <c r="ET30" s="192" t="s">
        <v>660</v>
      </c>
      <c r="EU30" s="192" t="s">
        <v>660</v>
      </c>
      <c r="EV30" s="192" t="s">
        <v>660</v>
      </c>
      <c r="EW30" s="192" t="s">
        <v>660</v>
      </c>
      <c r="EX30" s="192" t="s">
        <v>660</v>
      </c>
      <c r="EY30" s="192" t="s">
        <v>660</v>
      </c>
      <c r="EZ30" s="192" t="s">
        <v>660</v>
      </c>
      <c r="FA30" s="192" t="s">
        <v>660</v>
      </c>
      <c r="FB30" s="192" t="s">
        <v>660</v>
      </c>
      <c r="FC30" s="192" t="s">
        <v>660</v>
      </c>
      <c r="FD30" s="192" t="s">
        <v>660</v>
      </c>
      <c r="FE30" s="192" t="s">
        <v>660</v>
      </c>
      <c r="FF30" s="192" t="s">
        <v>660</v>
      </c>
      <c r="FG30" s="192" t="s">
        <v>660</v>
      </c>
      <c r="FH30" s="192" t="s">
        <v>660</v>
      </c>
      <c r="FI30" s="192" t="s">
        <v>674</v>
      </c>
      <c r="FJ30" s="192" t="s">
        <v>660</v>
      </c>
    </row>
    <row r="31" spans="1:166" ht="45">
      <c r="A31" s="196">
        <v>46120.588182870371</v>
      </c>
      <c r="B31" s="196">
        <v>46120.58861111111</v>
      </c>
      <c r="C31" s="192" t="s">
        <v>507</v>
      </c>
      <c r="D31" s="192" t="s">
        <v>934</v>
      </c>
      <c r="E31">
        <v>99</v>
      </c>
      <c r="F31">
        <v>37</v>
      </c>
      <c r="G31" s="192" t="s">
        <v>872</v>
      </c>
      <c r="H31" s="196">
        <v>46127.58862599537</v>
      </c>
      <c r="I31" s="192" t="s">
        <v>935</v>
      </c>
      <c r="J31" s="192" t="s">
        <v>660</v>
      </c>
      <c r="K31" s="192" t="s">
        <v>660</v>
      </c>
      <c r="L31" s="192" t="s">
        <v>660</v>
      </c>
      <c r="M31" s="192" t="s">
        <v>660</v>
      </c>
      <c r="N31">
        <v>51.222200000000001</v>
      </c>
      <c r="O31">
        <v>6.7788000000000004</v>
      </c>
      <c r="P31" s="192" t="s">
        <v>661</v>
      </c>
      <c r="Q31" s="192" t="s">
        <v>662</v>
      </c>
      <c r="R31" s="192" t="s">
        <v>3</v>
      </c>
      <c r="S31" s="192" t="s">
        <v>660</v>
      </c>
      <c r="T31" s="192" t="s">
        <v>660</v>
      </c>
      <c r="U31" s="192" t="s">
        <v>660</v>
      </c>
      <c r="V31" s="192" t="s">
        <v>660</v>
      </c>
      <c r="W31" s="192" t="s">
        <v>660</v>
      </c>
      <c r="X31" s="192" t="s">
        <v>660</v>
      </c>
      <c r="Y31" s="192" t="s">
        <v>660</v>
      </c>
      <c r="Z31" s="192" t="s">
        <v>660</v>
      </c>
      <c r="AA31" s="192" t="s">
        <v>660</v>
      </c>
      <c r="AB31" s="192" t="s">
        <v>660</v>
      </c>
      <c r="AC31" s="192" t="s">
        <v>660</v>
      </c>
      <c r="AD31" s="192" t="s">
        <v>660</v>
      </c>
      <c r="AE31" s="192" t="s">
        <v>660</v>
      </c>
      <c r="AF31" s="192" t="s">
        <v>660</v>
      </c>
      <c r="AG31" s="192" t="s">
        <v>660</v>
      </c>
      <c r="AH31" s="192" t="s">
        <v>660</v>
      </c>
      <c r="AI31" s="192" t="s">
        <v>660</v>
      </c>
      <c r="AJ31" s="192" t="s">
        <v>660</v>
      </c>
      <c r="AK31" s="192" t="s">
        <v>660</v>
      </c>
      <c r="AL31" s="192" t="s">
        <v>660</v>
      </c>
      <c r="AM31" s="192" t="s">
        <v>660</v>
      </c>
      <c r="AN31" s="192" t="s">
        <v>660</v>
      </c>
      <c r="AO31" s="192" t="s">
        <v>660</v>
      </c>
      <c r="AP31" s="192" t="s">
        <v>660</v>
      </c>
      <c r="AQ31" s="192" t="s">
        <v>660</v>
      </c>
      <c r="AR31" s="192" t="s">
        <v>660</v>
      </c>
      <c r="AS31" s="192" t="s">
        <v>660</v>
      </c>
      <c r="AT31" s="192" t="s">
        <v>660</v>
      </c>
      <c r="AU31" s="192" t="s">
        <v>660</v>
      </c>
      <c r="AV31" s="192" t="s">
        <v>660</v>
      </c>
      <c r="AW31" s="192" t="s">
        <v>660</v>
      </c>
      <c r="AX31" s="192" t="s">
        <v>660</v>
      </c>
      <c r="AY31" s="192" t="s">
        <v>660</v>
      </c>
      <c r="AZ31" s="192" t="s">
        <v>660</v>
      </c>
      <c r="BA31" s="192" t="s">
        <v>660</v>
      </c>
      <c r="BB31" s="192" t="s">
        <v>660</v>
      </c>
      <c r="BC31" s="192" t="s">
        <v>660</v>
      </c>
      <c r="BD31" s="192" t="s">
        <v>660</v>
      </c>
      <c r="BE31" s="192" t="s">
        <v>660</v>
      </c>
      <c r="BF31" s="192" t="s">
        <v>660</v>
      </c>
      <c r="BG31" s="192" t="s">
        <v>660</v>
      </c>
      <c r="BH31" s="192" t="s">
        <v>660</v>
      </c>
      <c r="BI31" s="192" t="s">
        <v>660</v>
      </c>
      <c r="BJ31" s="192" t="s">
        <v>660</v>
      </c>
      <c r="BK31" s="192" t="s">
        <v>660</v>
      </c>
      <c r="BL31" s="192" t="s">
        <v>660</v>
      </c>
      <c r="BM31" s="192" t="s">
        <v>660</v>
      </c>
      <c r="BN31" s="192" t="s">
        <v>660</v>
      </c>
      <c r="BO31" s="192" t="s">
        <v>660</v>
      </c>
      <c r="BP31" s="192" t="s">
        <v>660</v>
      </c>
      <c r="BQ31" s="192" t="s">
        <v>660</v>
      </c>
      <c r="BR31" s="192" t="s">
        <v>660</v>
      </c>
      <c r="BS31" s="192" t="s">
        <v>660</v>
      </c>
      <c r="BT31" s="192" t="s">
        <v>660</v>
      </c>
      <c r="BU31" s="192" t="s">
        <v>660</v>
      </c>
      <c r="BV31" s="192" t="s">
        <v>660</v>
      </c>
      <c r="BW31" s="192" t="s">
        <v>660</v>
      </c>
      <c r="BX31" s="192" t="s">
        <v>660</v>
      </c>
      <c r="BY31" s="192" t="s">
        <v>660</v>
      </c>
      <c r="BZ31" s="192" t="s">
        <v>660</v>
      </c>
      <c r="CA31" s="192" t="s">
        <v>660</v>
      </c>
      <c r="CB31" s="192" t="s">
        <v>660</v>
      </c>
      <c r="CC31" s="192" t="s">
        <v>660</v>
      </c>
      <c r="CD31" s="192" t="s">
        <v>660</v>
      </c>
      <c r="CE31" s="192" t="s">
        <v>660</v>
      </c>
      <c r="CF31" s="192" t="s">
        <v>660</v>
      </c>
      <c r="CG31" s="192" t="s">
        <v>660</v>
      </c>
      <c r="CH31" s="192" t="s">
        <v>660</v>
      </c>
      <c r="CI31" s="192" t="s">
        <v>660</v>
      </c>
      <c r="CJ31" s="192" t="s">
        <v>660</v>
      </c>
      <c r="CK31" s="192" t="s">
        <v>660</v>
      </c>
      <c r="CL31" s="192" t="s">
        <v>660</v>
      </c>
      <c r="CM31" s="192" t="s">
        <v>660</v>
      </c>
      <c r="CN31" s="192" t="s">
        <v>660</v>
      </c>
      <c r="CO31" s="192" t="s">
        <v>660</v>
      </c>
      <c r="CP31" s="192" t="s">
        <v>660</v>
      </c>
      <c r="CQ31" s="192" t="s">
        <v>660</v>
      </c>
      <c r="CR31" s="192" t="s">
        <v>660</v>
      </c>
      <c r="CS31" s="192" t="s">
        <v>660</v>
      </c>
      <c r="CT31" s="192" t="s">
        <v>660</v>
      </c>
      <c r="CU31" s="192" t="s">
        <v>660</v>
      </c>
      <c r="CV31" s="192" t="s">
        <v>660</v>
      </c>
      <c r="CW31" s="192" t="s">
        <v>660</v>
      </c>
      <c r="CX31" s="192" t="s">
        <v>660</v>
      </c>
      <c r="CY31" s="192" t="s">
        <v>660</v>
      </c>
      <c r="CZ31" s="192" t="s">
        <v>660</v>
      </c>
      <c r="DA31" s="192" t="s">
        <v>660</v>
      </c>
      <c r="DB31" s="192" t="s">
        <v>660</v>
      </c>
      <c r="DC31" s="192" t="s">
        <v>660</v>
      </c>
      <c r="DD31" s="192" t="s">
        <v>660</v>
      </c>
      <c r="DE31" s="192" t="s">
        <v>660</v>
      </c>
      <c r="DF31" s="192" t="s">
        <v>660</v>
      </c>
      <c r="DG31" s="192" t="s">
        <v>660</v>
      </c>
      <c r="DH31" s="192" t="s">
        <v>660</v>
      </c>
      <c r="DI31" s="192" t="s">
        <v>660</v>
      </c>
      <c r="DJ31" s="192" t="s">
        <v>660</v>
      </c>
      <c r="DK31" s="192" t="s">
        <v>660</v>
      </c>
      <c r="DL31" s="192" t="s">
        <v>660</v>
      </c>
      <c r="DM31" s="192" t="s">
        <v>660</v>
      </c>
      <c r="DN31" s="192" t="s">
        <v>660</v>
      </c>
      <c r="DO31" s="192" t="s">
        <v>660</v>
      </c>
      <c r="DP31" s="192" t="s">
        <v>660</v>
      </c>
      <c r="DQ31" s="192" t="s">
        <v>660</v>
      </c>
      <c r="DR31" s="192" t="s">
        <v>660</v>
      </c>
      <c r="DS31" s="192" t="s">
        <v>660</v>
      </c>
      <c r="DT31" s="192" t="s">
        <v>660</v>
      </c>
      <c r="DU31" s="192" t="s">
        <v>660</v>
      </c>
      <c r="DV31" s="192" t="s">
        <v>660</v>
      </c>
      <c r="DW31" s="192" t="s">
        <v>660</v>
      </c>
      <c r="DX31" s="192" t="s">
        <v>660</v>
      </c>
      <c r="DY31" s="192" t="s">
        <v>660</v>
      </c>
      <c r="DZ31" s="192" t="s">
        <v>660</v>
      </c>
      <c r="EA31" s="192" t="s">
        <v>660</v>
      </c>
      <c r="EB31" s="192" t="s">
        <v>660</v>
      </c>
      <c r="EC31" s="192" t="s">
        <v>660</v>
      </c>
      <c r="ED31" s="192" t="s">
        <v>660</v>
      </c>
      <c r="EE31" s="192" t="s">
        <v>660</v>
      </c>
      <c r="EF31" s="192" t="s">
        <v>660</v>
      </c>
      <c r="EG31" s="192" t="s">
        <v>660</v>
      </c>
      <c r="EH31" s="192" t="s">
        <v>660</v>
      </c>
      <c r="EI31" s="192" t="s">
        <v>660</v>
      </c>
      <c r="EJ31" s="192" t="s">
        <v>660</v>
      </c>
      <c r="EK31" s="192" t="s">
        <v>660</v>
      </c>
      <c r="EL31" s="192" t="s">
        <v>660</v>
      </c>
      <c r="EM31" s="192" t="s">
        <v>660</v>
      </c>
      <c r="EN31" s="192" t="s">
        <v>660</v>
      </c>
      <c r="EO31" s="192" t="s">
        <v>660</v>
      </c>
      <c r="EP31" s="192" t="s">
        <v>660</v>
      </c>
      <c r="EQ31" s="192" t="s">
        <v>660</v>
      </c>
      <c r="ER31" s="192" t="s">
        <v>660</v>
      </c>
      <c r="ES31" s="192" t="s">
        <v>660</v>
      </c>
      <c r="ET31" s="192" t="s">
        <v>660</v>
      </c>
      <c r="EU31" s="192" t="s">
        <v>660</v>
      </c>
      <c r="EV31" s="192" t="s">
        <v>660</v>
      </c>
      <c r="EW31" s="192" t="s">
        <v>660</v>
      </c>
      <c r="EX31" s="192" t="s">
        <v>660</v>
      </c>
      <c r="EY31" s="192" t="s">
        <v>660</v>
      </c>
      <c r="EZ31" s="192" t="s">
        <v>660</v>
      </c>
      <c r="FA31" s="192" t="s">
        <v>660</v>
      </c>
      <c r="FB31" s="192" t="s">
        <v>660</v>
      </c>
      <c r="FC31" s="192" t="s">
        <v>660</v>
      </c>
      <c r="FD31" s="192" t="s">
        <v>660</v>
      </c>
      <c r="FE31" s="192" t="s">
        <v>660</v>
      </c>
      <c r="FF31" s="192" t="s">
        <v>660</v>
      </c>
      <c r="FG31" s="192" t="s">
        <v>660</v>
      </c>
      <c r="FH31" s="192" t="s">
        <v>660</v>
      </c>
      <c r="FI31" s="192" t="s">
        <v>674</v>
      </c>
      <c r="FJ31" s="192" t="s">
        <v>660</v>
      </c>
    </row>
    <row r="32" spans="1:166" ht="45">
      <c r="A32" s="196">
        <v>46120.719884259262</v>
      </c>
      <c r="B32" s="196">
        <v>46120.730023148149</v>
      </c>
      <c r="C32" s="192" t="s">
        <v>507</v>
      </c>
      <c r="D32" s="192" t="s">
        <v>936</v>
      </c>
      <c r="E32">
        <v>1</v>
      </c>
      <c r="F32">
        <v>876</v>
      </c>
      <c r="G32" s="192" t="s">
        <v>872</v>
      </c>
      <c r="H32" s="196">
        <v>46127.730107986114</v>
      </c>
      <c r="I32" s="192" t="s">
        <v>937</v>
      </c>
      <c r="J32" s="192" t="s">
        <v>660</v>
      </c>
      <c r="K32" s="192" t="s">
        <v>660</v>
      </c>
      <c r="L32" s="192" t="s">
        <v>660</v>
      </c>
      <c r="M32" s="192" t="s">
        <v>660</v>
      </c>
      <c r="N32">
        <v>33.667000000000002</v>
      </c>
      <c r="O32">
        <v>-84.386499999999998</v>
      </c>
      <c r="P32" s="192" t="s">
        <v>661</v>
      </c>
      <c r="Q32" s="192" t="s">
        <v>662</v>
      </c>
      <c r="R32" s="192" t="s">
        <v>660</v>
      </c>
      <c r="S32" s="192" t="s">
        <v>660</v>
      </c>
      <c r="T32" s="192" t="s">
        <v>660</v>
      </c>
      <c r="U32" s="192" t="s">
        <v>660</v>
      </c>
      <c r="V32" s="192" t="s">
        <v>660</v>
      </c>
      <c r="W32" s="192" t="s">
        <v>660</v>
      </c>
      <c r="X32" s="192" t="s">
        <v>660</v>
      </c>
      <c r="Y32" s="192" t="s">
        <v>660</v>
      </c>
      <c r="Z32" s="192" t="s">
        <v>660</v>
      </c>
      <c r="AA32" s="192" t="s">
        <v>660</v>
      </c>
      <c r="AB32" s="192" t="s">
        <v>660</v>
      </c>
      <c r="AC32" s="192" t="s">
        <v>660</v>
      </c>
      <c r="AD32" s="192" t="s">
        <v>660</v>
      </c>
      <c r="AE32" s="192" t="s">
        <v>660</v>
      </c>
      <c r="AF32" s="192" t="s">
        <v>660</v>
      </c>
      <c r="AG32" s="192" t="s">
        <v>660</v>
      </c>
      <c r="AH32" s="192" t="s">
        <v>660</v>
      </c>
      <c r="AI32" s="192" t="s">
        <v>660</v>
      </c>
      <c r="AJ32" s="192" t="s">
        <v>660</v>
      </c>
      <c r="AK32" s="192" t="s">
        <v>660</v>
      </c>
      <c r="AL32" s="192" t="s">
        <v>660</v>
      </c>
      <c r="AM32" s="192" t="s">
        <v>660</v>
      </c>
      <c r="AN32" s="192" t="s">
        <v>660</v>
      </c>
      <c r="AO32" s="192" t="s">
        <v>660</v>
      </c>
      <c r="AP32" s="192" t="s">
        <v>660</v>
      </c>
      <c r="AQ32" s="192" t="s">
        <v>660</v>
      </c>
      <c r="AR32" s="192" t="s">
        <v>660</v>
      </c>
      <c r="AS32" s="192" t="s">
        <v>660</v>
      </c>
      <c r="AT32" s="192" t="s">
        <v>660</v>
      </c>
      <c r="AU32" s="192" t="s">
        <v>660</v>
      </c>
      <c r="AV32" s="192" t="s">
        <v>660</v>
      </c>
      <c r="AW32" s="192" t="s">
        <v>660</v>
      </c>
      <c r="AX32" s="192" t="s">
        <v>660</v>
      </c>
      <c r="AY32" s="192" t="s">
        <v>660</v>
      </c>
      <c r="AZ32" s="192" t="s">
        <v>660</v>
      </c>
      <c r="BA32" s="192" t="s">
        <v>660</v>
      </c>
      <c r="BB32" s="192" t="s">
        <v>660</v>
      </c>
      <c r="BC32" s="192" t="s">
        <v>660</v>
      </c>
      <c r="BD32" s="192" t="s">
        <v>660</v>
      </c>
      <c r="BE32" s="192" t="s">
        <v>660</v>
      </c>
      <c r="BF32" s="192" t="s">
        <v>660</v>
      </c>
      <c r="BG32" s="192" t="s">
        <v>660</v>
      </c>
      <c r="BH32" s="192" t="s">
        <v>660</v>
      </c>
      <c r="BI32" s="192" t="s">
        <v>660</v>
      </c>
      <c r="BJ32" s="192" t="s">
        <v>660</v>
      </c>
      <c r="BK32" s="192" t="s">
        <v>660</v>
      </c>
      <c r="BL32" s="192" t="s">
        <v>660</v>
      </c>
      <c r="BM32" s="192" t="s">
        <v>660</v>
      </c>
      <c r="BN32" s="192" t="s">
        <v>660</v>
      </c>
      <c r="BO32" s="192" t="s">
        <v>660</v>
      </c>
      <c r="BP32" s="192" t="s">
        <v>660</v>
      </c>
      <c r="BQ32" s="192" t="s">
        <v>660</v>
      </c>
      <c r="BR32" s="192" t="s">
        <v>660</v>
      </c>
      <c r="BS32" s="192" t="s">
        <v>660</v>
      </c>
      <c r="BT32" s="192" t="s">
        <v>660</v>
      </c>
      <c r="BU32" s="192" t="s">
        <v>660</v>
      </c>
      <c r="BV32" s="192" t="s">
        <v>660</v>
      </c>
      <c r="BW32" s="192" t="s">
        <v>660</v>
      </c>
      <c r="BX32" s="192" t="s">
        <v>660</v>
      </c>
      <c r="BY32" s="192" t="s">
        <v>660</v>
      </c>
      <c r="BZ32" s="192" t="s">
        <v>660</v>
      </c>
      <c r="CA32" s="192" t="s">
        <v>660</v>
      </c>
      <c r="CB32" s="192" t="s">
        <v>660</v>
      </c>
      <c r="CC32" s="192" t="s">
        <v>660</v>
      </c>
      <c r="CD32" s="192" t="s">
        <v>660</v>
      </c>
      <c r="CE32" s="192" t="s">
        <v>660</v>
      </c>
      <c r="CF32" s="192" t="s">
        <v>660</v>
      </c>
      <c r="CG32" s="192" t="s">
        <v>660</v>
      </c>
      <c r="CH32" s="192" t="s">
        <v>660</v>
      </c>
      <c r="CI32" s="192" t="s">
        <v>660</v>
      </c>
      <c r="CJ32" s="192" t="s">
        <v>660</v>
      </c>
      <c r="CK32" s="192" t="s">
        <v>660</v>
      </c>
      <c r="CL32" s="192" t="s">
        <v>660</v>
      </c>
      <c r="CM32" s="192" t="s">
        <v>660</v>
      </c>
      <c r="CN32" s="192" t="s">
        <v>660</v>
      </c>
      <c r="CO32" s="192" t="s">
        <v>660</v>
      </c>
      <c r="CP32" s="192" t="s">
        <v>660</v>
      </c>
      <c r="CQ32" s="192" t="s">
        <v>660</v>
      </c>
      <c r="CR32" s="192" t="s">
        <v>660</v>
      </c>
      <c r="CS32" s="192" t="s">
        <v>660</v>
      </c>
      <c r="CT32" s="192" t="s">
        <v>660</v>
      </c>
      <c r="CU32" s="192" t="s">
        <v>660</v>
      </c>
      <c r="CV32" s="192" t="s">
        <v>660</v>
      </c>
      <c r="CW32" s="192" t="s">
        <v>660</v>
      </c>
      <c r="CX32" s="192" t="s">
        <v>660</v>
      </c>
      <c r="CY32" s="192" t="s">
        <v>660</v>
      </c>
      <c r="CZ32" s="192" t="s">
        <v>660</v>
      </c>
      <c r="DA32" s="192" t="s">
        <v>660</v>
      </c>
      <c r="DB32" s="192" t="s">
        <v>660</v>
      </c>
      <c r="DC32" s="192" t="s">
        <v>660</v>
      </c>
      <c r="DD32" s="192" t="s">
        <v>660</v>
      </c>
      <c r="DE32" s="192" t="s">
        <v>660</v>
      </c>
      <c r="DF32" s="192" t="s">
        <v>660</v>
      </c>
      <c r="DG32" s="192" t="s">
        <v>660</v>
      </c>
      <c r="DH32" s="192" t="s">
        <v>660</v>
      </c>
      <c r="DI32" s="192" t="s">
        <v>660</v>
      </c>
      <c r="DJ32" s="192" t="s">
        <v>660</v>
      </c>
      <c r="DK32" s="192" t="s">
        <v>660</v>
      </c>
      <c r="DL32" s="192" t="s">
        <v>660</v>
      </c>
      <c r="DM32" s="192" t="s">
        <v>660</v>
      </c>
      <c r="DN32" s="192" t="s">
        <v>660</v>
      </c>
      <c r="DO32" s="192" t="s">
        <v>660</v>
      </c>
      <c r="DP32" s="192" t="s">
        <v>660</v>
      </c>
      <c r="DQ32" s="192" t="s">
        <v>660</v>
      </c>
      <c r="DR32" s="192" t="s">
        <v>660</v>
      </c>
      <c r="DS32" s="192" t="s">
        <v>660</v>
      </c>
      <c r="DT32" s="192" t="s">
        <v>660</v>
      </c>
      <c r="DU32" s="192" t="s">
        <v>660</v>
      </c>
      <c r="DV32" s="192" t="s">
        <v>660</v>
      </c>
      <c r="DW32" s="192" t="s">
        <v>660</v>
      </c>
      <c r="DX32" s="192" t="s">
        <v>660</v>
      </c>
      <c r="DY32" s="192" t="s">
        <v>660</v>
      </c>
      <c r="DZ32" s="192" t="s">
        <v>660</v>
      </c>
      <c r="EA32" s="192" t="s">
        <v>660</v>
      </c>
      <c r="EB32" s="192" t="s">
        <v>660</v>
      </c>
      <c r="EC32" s="192" t="s">
        <v>660</v>
      </c>
      <c r="ED32" s="192" t="s">
        <v>660</v>
      </c>
      <c r="EE32" s="192" t="s">
        <v>660</v>
      </c>
      <c r="EF32" s="192" t="s">
        <v>660</v>
      </c>
      <c r="EG32" s="192" t="s">
        <v>660</v>
      </c>
      <c r="EH32" s="192" t="s">
        <v>660</v>
      </c>
      <c r="EI32" s="192" t="s">
        <v>660</v>
      </c>
      <c r="EJ32" s="192" t="s">
        <v>660</v>
      </c>
      <c r="EK32" s="192" t="s">
        <v>660</v>
      </c>
      <c r="EL32" s="192" t="s">
        <v>660</v>
      </c>
      <c r="EM32" s="192" t="s">
        <v>660</v>
      </c>
      <c r="EN32" s="192" t="s">
        <v>660</v>
      </c>
      <c r="EO32" s="192" t="s">
        <v>660</v>
      </c>
      <c r="EP32" s="192" t="s">
        <v>660</v>
      </c>
      <c r="EQ32" s="192" t="s">
        <v>660</v>
      </c>
      <c r="ER32" s="192" t="s">
        <v>660</v>
      </c>
      <c r="ES32" s="192" t="s">
        <v>660</v>
      </c>
      <c r="ET32" s="192" t="s">
        <v>660</v>
      </c>
      <c r="EU32" s="192" t="s">
        <v>660</v>
      </c>
      <c r="EV32" s="192" t="s">
        <v>660</v>
      </c>
      <c r="EW32" s="192" t="s">
        <v>660</v>
      </c>
      <c r="EX32" s="192" t="s">
        <v>660</v>
      </c>
      <c r="EY32" s="192" t="s">
        <v>660</v>
      </c>
      <c r="EZ32" s="192" t="s">
        <v>660</v>
      </c>
      <c r="FA32" s="192" t="s">
        <v>660</v>
      </c>
      <c r="FB32" s="192" t="s">
        <v>660</v>
      </c>
      <c r="FC32" s="192" t="s">
        <v>660</v>
      </c>
      <c r="FD32" s="192" t="s">
        <v>660</v>
      </c>
      <c r="FE32" s="192" t="s">
        <v>660</v>
      </c>
      <c r="FF32" s="192" t="s">
        <v>660</v>
      </c>
      <c r="FG32" s="192" t="s">
        <v>660</v>
      </c>
      <c r="FH32" s="192" t="s">
        <v>660</v>
      </c>
      <c r="FI32" s="192" t="s">
        <v>674</v>
      </c>
      <c r="FJ32" s="192" t="s">
        <v>660</v>
      </c>
    </row>
    <row r="33" spans="1:166" ht="180">
      <c r="A33" s="196">
        <v>46120.393449074072</v>
      </c>
      <c r="B33" s="196">
        <v>46121.542442129627</v>
      </c>
      <c r="C33" s="192" t="s">
        <v>507</v>
      </c>
      <c r="D33" s="192" t="s">
        <v>938</v>
      </c>
      <c r="E33">
        <v>3</v>
      </c>
      <c r="F33">
        <v>99272</v>
      </c>
      <c r="G33" s="192" t="s">
        <v>872</v>
      </c>
      <c r="H33" s="196">
        <v>46128.542452256945</v>
      </c>
      <c r="I33" s="192" t="s">
        <v>939</v>
      </c>
      <c r="J33" s="192" t="s">
        <v>660</v>
      </c>
      <c r="K33" s="192" t="s">
        <v>660</v>
      </c>
      <c r="L33" s="192" t="s">
        <v>660</v>
      </c>
      <c r="M33" s="192" t="s">
        <v>660</v>
      </c>
      <c r="N33">
        <v>50.098500000000001</v>
      </c>
      <c r="O33">
        <v>14.452400000000001</v>
      </c>
      <c r="P33" s="192" t="s">
        <v>661</v>
      </c>
      <c r="Q33" s="192" t="s">
        <v>662</v>
      </c>
      <c r="R33" s="192" t="s">
        <v>7</v>
      </c>
      <c r="S33" s="192" t="s">
        <v>799</v>
      </c>
      <c r="T33" s="192" t="s">
        <v>940</v>
      </c>
      <c r="U33" s="192" t="s">
        <v>660</v>
      </c>
      <c r="V33" s="192" t="s">
        <v>660</v>
      </c>
      <c r="W33" s="192" t="s">
        <v>940</v>
      </c>
      <c r="X33" s="192" t="s">
        <v>660</v>
      </c>
      <c r="Y33" s="192" t="s">
        <v>660</v>
      </c>
      <c r="Z33" s="192" t="s">
        <v>940</v>
      </c>
      <c r="AA33" s="192" t="s">
        <v>660</v>
      </c>
      <c r="AB33" s="192" t="s">
        <v>660</v>
      </c>
      <c r="AC33" s="192" t="s">
        <v>660</v>
      </c>
      <c r="AD33" s="192" t="s">
        <v>660</v>
      </c>
      <c r="AE33" s="192" t="s">
        <v>660</v>
      </c>
      <c r="AF33" s="192" t="s">
        <v>660</v>
      </c>
      <c r="AG33" s="192" t="s">
        <v>660</v>
      </c>
      <c r="AH33" s="192" t="s">
        <v>660</v>
      </c>
      <c r="AI33" s="192" t="s">
        <v>660</v>
      </c>
      <c r="AJ33" s="192" t="s">
        <v>660</v>
      </c>
      <c r="AK33" s="192" t="s">
        <v>660</v>
      </c>
      <c r="AL33" s="192" t="s">
        <v>660</v>
      </c>
      <c r="AM33" s="192" t="s">
        <v>660</v>
      </c>
      <c r="AN33" s="192" t="s">
        <v>660</v>
      </c>
      <c r="AO33" s="192" t="s">
        <v>660</v>
      </c>
      <c r="AP33" s="192" t="s">
        <v>660</v>
      </c>
      <c r="AQ33" s="192" t="s">
        <v>660</v>
      </c>
      <c r="AR33" s="192" t="s">
        <v>660</v>
      </c>
      <c r="AS33" s="192" t="s">
        <v>660</v>
      </c>
      <c r="AT33" s="192" t="s">
        <v>660</v>
      </c>
      <c r="AU33" s="192" t="s">
        <v>660</v>
      </c>
      <c r="AV33" s="192" t="s">
        <v>660</v>
      </c>
      <c r="AW33" s="192" t="s">
        <v>660</v>
      </c>
      <c r="AX33" s="192" t="s">
        <v>660</v>
      </c>
      <c r="AY33" s="192" t="s">
        <v>660</v>
      </c>
      <c r="AZ33" s="192" t="s">
        <v>660</v>
      </c>
      <c r="BA33" s="192" t="s">
        <v>660</v>
      </c>
      <c r="BB33" s="192" t="s">
        <v>660</v>
      </c>
      <c r="BC33" s="192" t="s">
        <v>660</v>
      </c>
      <c r="BD33" s="192" t="s">
        <v>660</v>
      </c>
      <c r="BE33" s="192" t="s">
        <v>660</v>
      </c>
      <c r="BF33" s="192" t="s">
        <v>660</v>
      </c>
      <c r="BG33" s="192" t="s">
        <v>660</v>
      </c>
      <c r="BH33" s="192" t="s">
        <v>660</v>
      </c>
      <c r="BI33" s="192" t="s">
        <v>660</v>
      </c>
      <c r="BJ33" s="192" t="s">
        <v>660</v>
      </c>
      <c r="BK33" s="192" t="s">
        <v>660</v>
      </c>
      <c r="BL33" s="192" t="s">
        <v>660</v>
      </c>
      <c r="BM33" s="192" t="s">
        <v>660</v>
      </c>
      <c r="BN33" s="192" t="s">
        <v>660</v>
      </c>
      <c r="BO33" s="192" t="s">
        <v>660</v>
      </c>
      <c r="BP33" s="192" t="s">
        <v>660</v>
      </c>
      <c r="BQ33" s="192" t="s">
        <v>660</v>
      </c>
      <c r="BR33" s="192" t="s">
        <v>660</v>
      </c>
      <c r="BS33" s="192" t="s">
        <v>660</v>
      </c>
      <c r="BT33" s="192" t="s">
        <v>660</v>
      </c>
      <c r="BU33" s="192" t="s">
        <v>660</v>
      </c>
      <c r="BV33" s="192" t="s">
        <v>660</v>
      </c>
      <c r="BW33" s="192" t="s">
        <v>660</v>
      </c>
      <c r="BX33" s="192" t="s">
        <v>660</v>
      </c>
      <c r="BY33" s="192" t="s">
        <v>660</v>
      </c>
      <c r="BZ33" s="192" t="s">
        <v>660</v>
      </c>
      <c r="CA33" s="192" t="s">
        <v>660</v>
      </c>
      <c r="CB33" s="192" t="s">
        <v>660</v>
      </c>
      <c r="CC33" s="192" t="s">
        <v>660</v>
      </c>
      <c r="CD33" s="192" t="s">
        <v>660</v>
      </c>
      <c r="CE33" s="192" t="s">
        <v>660</v>
      </c>
      <c r="CF33" s="192" t="s">
        <v>660</v>
      </c>
      <c r="CG33" s="192" t="s">
        <v>660</v>
      </c>
      <c r="CH33" s="192" t="s">
        <v>660</v>
      </c>
      <c r="CI33" s="192" t="s">
        <v>660</v>
      </c>
      <c r="CJ33" s="192" t="s">
        <v>660</v>
      </c>
      <c r="CK33" s="192" t="s">
        <v>660</v>
      </c>
      <c r="CL33" s="192" t="s">
        <v>660</v>
      </c>
      <c r="CM33" s="192" t="s">
        <v>660</v>
      </c>
      <c r="CN33" s="192" t="s">
        <v>660</v>
      </c>
      <c r="CO33" s="192" t="s">
        <v>660</v>
      </c>
      <c r="CP33" s="192" t="s">
        <v>660</v>
      </c>
      <c r="CQ33" s="192" t="s">
        <v>660</v>
      </c>
      <c r="CR33" s="192" t="s">
        <v>660</v>
      </c>
      <c r="CS33" s="192" t="s">
        <v>660</v>
      </c>
      <c r="CT33" s="192" t="s">
        <v>660</v>
      </c>
      <c r="CU33" s="192" t="s">
        <v>660</v>
      </c>
      <c r="CV33" s="192" t="s">
        <v>660</v>
      </c>
      <c r="CW33" s="192" t="s">
        <v>660</v>
      </c>
      <c r="CX33" s="192" t="s">
        <v>660</v>
      </c>
      <c r="CY33" s="192" t="s">
        <v>660</v>
      </c>
      <c r="CZ33" s="192" t="s">
        <v>660</v>
      </c>
      <c r="DA33" s="192" t="s">
        <v>660</v>
      </c>
      <c r="DB33" s="192" t="s">
        <v>660</v>
      </c>
      <c r="DC33" s="192" t="s">
        <v>660</v>
      </c>
      <c r="DD33" s="192" t="s">
        <v>660</v>
      </c>
      <c r="DE33" s="192" t="s">
        <v>660</v>
      </c>
      <c r="DF33" s="192" t="s">
        <v>660</v>
      </c>
      <c r="DG33" s="192" t="s">
        <v>660</v>
      </c>
      <c r="DH33" s="192" t="s">
        <v>660</v>
      </c>
      <c r="DI33" s="192" t="s">
        <v>660</v>
      </c>
      <c r="DJ33" s="192" t="s">
        <v>660</v>
      </c>
      <c r="DK33" s="192" t="s">
        <v>660</v>
      </c>
      <c r="DL33" s="192" t="s">
        <v>660</v>
      </c>
      <c r="DM33" s="192" t="s">
        <v>660</v>
      </c>
      <c r="DN33" s="192" t="s">
        <v>660</v>
      </c>
      <c r="DO33" s="192" t="s">
        <v>660</v>
      </c>
      <c r="DP33" s="192" t="s">
        <v>660</v>
      </c>
      <c r="DQ33" s="192" t="s">
        <v>660</v>
      </c>
      <c r="DR33" s="192" t="s">
        <v>660</v>
      </c>
      <c r="DS33" s="192" t="s">
        <v>660</v>
      </c>
      <c r="DT33" s="192" t="s">
        <v>660</v>
      </c>
      <c r="DU33" s="192" t="s">
        <v>660</v>
      </c>
      <c r="DV33" s="192" t="s">
        <v>660</v>
      </c>
      <c r="DW33" s="192" t="s">
        <v>660</v>
      </c>
      <c r="DX33" s="192" t="s">
        <v>660</v>
      </c>
      <c r="DY33" s="192" t="s">
        <v>660</v>
      </c>
      <c r="DZ33" s="192" t="s">
        <v>660</v>
      </c>
      <c r="EA33" s="192" t="s">
        <v>660</v>
      </c>
      <c r="EB33" s="192" t="s">
        <v>660</v>
      </c>
      <c r="EC33" s="192" t="s">
        <v>660</v>
      </c>
      <c r="ED33" s="192" t="s">
        <v>660</v>
      </c>
      <c r="EE33" s="192" t="s">
        <v>660</v>
      </c>
      <c r="EF33" s="192" t="s">
        <v>660</v>
      </c>
      <c r="EG33" s="192" t="s">
        <v>660</v>
      </c>
      <c r="EH33" s="192" t="s">
        <v>660</v>
      </c>
      <c r="EI33" s="192" t="s">
        <v>660</v>
      </c>
      <c r="EJ33" s="192" t="s">
        <v>660</v>
      </c>
      <c r="EK33" s="192" t="s">
        <v>660</v>
      </c>
      <c r="EL33" s="192" t="s">
        <v>660</v>
      </c>
      <c r="EM33" s="192" t="s">
        <v>660</v>
      </c>
      <c r="EN33" s="192" t="s">
        <v>660</v>
      </c>
      <c r="EO33" s="192" t="s">
        <v>660</v>
      </c>
      <c r="EP33" s="192" t="s">
        <v>660</v>
      </c>
      <c r="EQ33" s="192" t="s">
        <v>660</v>
      </c>
      <c r="ER33" s="192" t="s">
        <v>660</v>
      </c>
      <c r="ES33" s="192" t="s">
        <v>660</v>
      </c>
      <c r="ET33" s="192" t="s">
        <v>660</v>
      </c>
      <c r="EU33" s="192" t="s">
        <v>660</v>
      </c>
      <c r="EV33" s="192" t="s">
        <v>660</v>
      </c>
      <c r="EW33" s="192" t="s">
        <v>660</v>
      </c>
      <c r="EX33" s="192" t="s">
        <v>660</v>
      </c>
      <c r="EY33" s="192" t="s">
        <v>660</v>
      </c>
      <c r="EZ33" s="192" t="s">
        <v>660</v>
      </c>
      <c r="FA33" s="192" t="s">
        <v>660</v>
      </c>
      <c r="FB33" s="192" t="s">
        <v>660</v>
      </c>
      <c r="FC33" s="192" t="s">
        <v>660</v>
      </c>
      <c r="FD33" s="192" t="s">
        <v>660</v>
      </c>
      <c r="FE33" s="192" t="s">
        <v>660</v>
      </c>
      <c r="FF33" s="192" t="s">
        <v>660</v>
      </c>
      <c r="FG33" s="192" t="s">
        <v>660</v>
      </c>
      <c r="FH33" s="192" t="s">
        <v>660</v>
      </c>
      <c r="FI33" s="192" t="s">
        <v>674</v>
      </c>
      <c r="FJ33" s="192" t="s">
        <v>660</v>
      </c>
    </row>
    <row r="34" spans="1:166" ht="45">
      <c r="A34" s="196">
        <v>46121.557384259257</v>
      </c>
      <c r="B34" s="196">
        <v>46121.571192129632</v>
      </c>
      <c r="C34" s="192" t="s">
        <v>507</v>
      </c>
      <c r="D34" s="192" t="s">
        <v>941</v>
      </c>
      <c r="E34">
        <v>1</v>
      </c>
      <c r="F34">
        <v>1193</v>
      </c>
      <c r="G34" s="192" t="s">
        <v>872</v>
      </c>
      <c r="H34" s="196">
        <v>46128.571222546299</v>
      </c>
      <c r="I34" s="192" t="s">
        <v>942</v>
      </c>
      <c r="J34" s="192" t="s">
        <v>660</v>
      </c>
      <c r="K34" s="192" t="s">
        <v>660</v>
      </c>
      <c r="L34" s="192" t="s">
        <v>660</v>
      </c>
      <c r="M34" s="192" t="s">
        <v>660</v>
      </c>
      <c r="N34">
        <v>47.3643</v>
      </c>
      <c r="O34">
        <v>8.5436999999999994</v>
      </c>
      <c r="P34" s="192" t="s">
        <v>661</v>
      </c>
      <c r="Q34" s="192" t="s">
        <v>662</v>
      </c>
      <c r="R34" s="192" t="s">
        <v>660</v>
      </c>
      <c r="S34" s="192" t="s">
        <v>660</v>
      </c>
      <c r="T34" s="192" t="s">
        <v>660</v>
      </c>
      <c r="U34" s="192" t="s">
        <v>660</v>
      </c>
      <c r="V34" s="192" t="s">
        <v>660</v>
      </c>
      <c r="W34" s="192" t="s">
        <v>660</v>
      </c>
      <c r="X34" s="192" t="s">
        <v>660</v>
      </c>
      <c r="Y34" s="192" t="s">
        <v>660</v>
      </c>
      <c r="Z34" s="192" t="s">
        <v>660</v>
      </c>
      <c r="AA34" s="192" t="s">
        <v>660</v>
      </c>
      <c r="AB34" s="192" t="s">
        <v>660</v>
      </c>
      <c r="AC34" s="192" t="s">
        <v>660</v>
      </c>
      <c r="AD34" s="192" t="s">
        <v>660</v>
      </c>
      <c r="AE34" s="192" t="s">
        <v>660</v>
      </c>
      <c r="AF34" s="192" t="s">
        <v>660</v>
      </c>
      <c r="AG34" s="192" t="s">
        <v>660</v>
      </c>
      <c r="AH34" s="192" t="s">
        <v>660</v>
      </c>
      <c r="AI34" s="192" t="s">
        <v>660</v>
      </c>
      <c r="AJ34" s="192" t="s">
        <v>660</v>
      </c>
      <c r="AK34" s="192" t="s">
        <v>660</v>
      </c>
      <c r="AL34" s="192" t="s">
        <v>660</v>
      </c>
      <c r="AM34" s="192" t="s">
        <v>660</v>
      </c>
      <c r="AN34" s="192" t="s">
        <v>660</v>
      </c>
      <c r="AO34" s="192" t="s">
        <v>660</v>
      </c>
      <c r="AP34" s="192" t="s">
        <v>660</v>
      </c>
      <c r="AQ34" s="192" t="s">
        <v>660</v>
      </c>
      <c r="AR34" s="192" t="s">
        <v>660</v>
      </c>
      <c r="AS34" s="192" t="s">
        <v>660</v>
      </c>
      <c r="AT34" s="192" t="s">
        <v>660</v>
      </c>
      <c r="AU34" s="192" t="s">
        <v>660</v>
      </c>
      <c r="AV34" s="192" t="s">
        <v>660</v>
      </c>
      <c r="AW34" s="192" t="s">
        <v>660</v>
      </c>
      <c r="AX34" s="192" t="s">
        <v>660</v>
      </c>
      <c r="AY34" s="192" t="s">
        <v>660</v>
      </c>
      <c r="AZ34" s="192" t="s">
        <v>660</v>
      </c>
      <c r="BA34" s="192" t="s">
        <v>660</v>
      </c>
      <c r="BB34" s="192" t="s">
        <v>660</v>
      </c>
      <c r="BC34" s="192" t="s">
        <v>660</v>
      </c>
      <c r="BD34" s="192" t="s">
        <v>660</v>
      </c>
      <c r="BE34" s="192" t="s">
        <v>660</v>
      </c>
      <c r="BF34" s="192" t="s">
        <v>660</v>
      </c>
      <c r="BG34" s="192" t="s">
        <v>660</v>
      </c>
      <c r="BH34" s="192" t="s">
        <v>660</v>
      </c>
      <c r="BI34" s="192" t="s">
        <v>660</v>
      </c>
      <c r="BJ34" s="192" t="s">
        <v>660</v>
      </c>
      <c r="BK34" s="192" t="s">
        <v>660</v>
      </c>
      <c r="BL34" s="192" t="s">
        <v>660</v>
      </c>
      <c r="BM34" s="192" t="s">
        <v>660</v>
      </c>
      <c r="BN34" s="192" t="s">
        <v>660</v>
      </c>
      <c r="BO34" s="192" t="s">
        <v>660</v>
      </c>
      <c r="BP34" s="192" t="s">
        <v>660</v>
      </c>
      <c r="BQ34" s="192" t="s">
        <v>660</v>
      </c>
      <c r="BR34" s="192" t="s">
        <v>660</v>
      </c>
      <c r="BS34" s="192" t="s">
        <v>660</v>
      </c>
      <c r="BT34" s="192" t="s">
        <v>660</v>
      </c>
      <c r="BU34" s="192" t="s">
        <v>660</v>
      </c>
      <c r="BV34" s="192" t="s">
        <v>660</v>
      </c>
      <c r="BW34" s="192" t="s">
        <v>660</v>
      </c>
      <c r="BX34" s="192" t="s">
        <v>660</v>
      </c>
      <c r="BY34" s="192" t="s">
        <v>660</v>
      </c>
      <c r="BZ34" s="192" t="s">
        <v>660</v>
      </c>
      <c r="CA34" s="192" t="s">
        <v>660</v>
      </c>
      <c r="CB34" s="192" t="s">
        <v>660</v>
      </c>
      <c r="CC34" s="192" t="s">
        <v>660</v>
      </c>
      <c r="CD34" s="192" t="s">
        <v>660</v>
      </c>
      <c r="CE34" s="192" t="s">
        <v>660</v>
      </c>
      <c r="CF34" s="192" t="s">
        <v>660</v>
      </c>
      <c r="CG34" s="192" t="s">
        <v>660</v>
      </c>
      <c r="CH34" s="192" t="s">
        <v>660</v>
      </c>
      <c r="CI34" s="192" t="s">
        <v>660</v>
      </c>
      <c r="CJ34" s="192" t="s">
        <v>660</v>
      </c>
      <c r="CK34" s="192" t="s">
        <v>660</v>
      </c>
      <c r="CL34" s="192" t="s">
        <v>660</v>
      </c>
      <c r="CM34" s="192" t="s">
        <v>660</v>
      </c>
      <c r="CN34" s="192" t="s">
        <v>660</v>
      </c>
      <c r="CO34" s="192" t="s">
        <v>660</v>
      </c>
      <c r="CP34" s="192" t="s">
        <v>660</v>
      </c>
      <c r="CQ34" s="192" t="s">
        <v>660</v>
      </c>
      <c r="CR34" s="192" t="s">
        <v>660</v>
      </c>
      <c r="CS34" s="192" t="s">
        <v>660</v>
      </c>
      <c r="CT34" s="192" t="s">
        <v>660</v>
      </c>
      <c r="CU34" s="192" t="s">
        <v>660</v>
      </c>
      <c r="CV34" s="192" t="s">
        <v>660</v>
      </c>
      <c r="CW34" s="192" t="s">
        <v>660</v>
      </c>
      <c r="CX34" s="192" t="s">
        <v>660</v>
      </c>
      <c r="CY34" s="192" t="s">
        <v>660</v>
      </c>
      <c r="CZ34" s="192" t="s">
        <v>660</v>
      </c>
      <c r="DA34" s="192" t="s">
        <v>660</v>
      </c>
      <c r="DB34" s="192" t="s">
        <v>660</v>
      </c>
      <c r="DC34" s="192" t="s">
        <v>660</v>
      </c>
      <c r="DD34" s="192" t="s">
        <v>660</v>
      </c>
      <c r="DE34" s="192" t="s">
        <v>660</v>
      </c>
      <c r="DF34" s="192" t="s">
        <v>660</v>
      </c>
      <c r="DG34" s="192" t="s">
        <v>660</v>
      </c>
      <c r="DH34" s="192" t="s">
        <v>660</v>
      </c>
      <c r="DI34" s="192" t="s">
        <v>660</v>
      </c>
      <c r="DJ34" s="192" t="s">
        <v>660</v>
      </c>
      <c r="DK34" s="192" t="s">
        <v>660</v>
      </c>
      <c r="DL34" s="192" t="s">
        <v>660</v>
      </c>
      <c r="DM34" s="192" t="s">
        <v>660</v>
      </c>
      <c r="DN34" s="192" t="s">
        <v>660</v>
      </c>
      <c r="DO34" s="192" t="s">
        <v>660</v>
      </c>
      <c r="DP34" s="192" t="s">
        <v>660</v>
      </c>
      <c r="DQ34" s="192" t="s">
        <v>660</v>
      </c>
      <c r="DR34" s="192" t="s">
        <v>660</v>
      </c>
      <c r="DS34" s="192" t="s">
        <v>660</v>
      </c>
      <c r="DT34" s="192" t="s">
        <v>660</v>
      </c>
      <c r="DU34" s="192" t="s">
        <v>660</v>
      </c>
      <c r="DV34" s="192" t="s">
        <v>660</v>
      </c>
      <c r="DW34" s="192" t="s">
        <v>660</v>
      </c>
      <c r="DX34" s="192" t="s">
        <v>660</v>
      </c>
      <c r="DY34" s="192" t="s">
        <v>660</v>
      </c>
      <c r="DZ34" s="192" t="s">
        <v>660</v>
      </c>
      <c r="EA34" s="192" t="s">
        <v>660</v>
      </c>
      <c r="EB34" s="192" t="s">
        <v>660</v>
      </c>
      <c r="EC34" s="192" t="s">
        <v>660</v>
      </c>
      <c r="ED34" s="192" t="s">
        <v>660</v>
      </c>
      <c r="EE34" s="192" t="s">
        <v>660</v>
      </c>
      <c r="EF34" s="192" t="s">
        <v>660</v>
      </c>
      <c r="EG34" s="192" t="s">
        <v>660</v>
      </c>
      <c r="EH34" s="192" t="s">
        <v>660</v>
      </c>
      <c r="EI34" s="192" t="s">
        <v>660</v>
      </c>
      <c r="EJ34" s="192" t="s">
        <v>660</v>
      </c>
      <c r="EK34" s="192" t="s">
        <v>660</v>
      </c>
      <c r="EL34" s="192" t="s">
        <v>660</v>
      </c>
      <c r="EM34" s="192" t="s">
        <v>660</v>
      </c>
      <c r="EN34" s="192" t="s">
        <v>660</v>
      </c>
      <c r="EO34" s="192" t="s">
        <v>660</v>
      </c>
      <c r="EP34" s="192" t="s">
        <v>660</v>
      </c>
      <c r="EQ34" s="192" t="s">
        <v>660</v>
      </c>
      <c r="ER34" s="192" t="s">
        <v>660</v>
      </c>
      <c r="ES34" s="192" t="s">
        <v>660</v>
      </c>
      <c r="ET34" s="192" t="s">
        <v>660</v>
      </c>
      <c r="EU34" s="192" t="s">
        <v>660</v>
      </c>
      <c r="EV34" s="192" t="s">
        <v>660</v>
      </c>
      <c r="EW34" s="192" t="s">
        <v>660</v>
      </c>
      <c r="EX34" s="192" t="s">
        <v>660</v>
      </c>
      <c r="EY34" s="192" t="s">
        <v>660</v>
      </c>
      <c r="EZ34" s="192" t="s">
        <v>660</v>
      </c>
      <c r="FA34" s="192" t="s">
        <v>660</v>
      </c>
      <c r="FB34" s="192" t="s">
        <v>660</v>
      </c>
      <c r="FC34" s="192" t="s">
        <v>660</v>
      </c>
      <c r="FD34" s="192" t="s">
        <v>660</v>
      </c>
      <c r="FE34" s="192" t="s">
        <v>660</v>
      </c>
      <c r="FF34" s="192" t="s">
        <v>660</v>
      </c>
      <c r="FG34" s="192" t="s">
        <v>660</v>
      </c>
      <c r="FH34" s="192" t="s">
        <v>660</v>
      </c>
      <c r="FI34" s="192" t="s">
        <v>674</v>
      </c>
      <c r="FJ34" s="192" t="s">
        <v>660</v>
      </c>
    </row>
    <row r="35" spans="1:166" ht="409.5">
      <c r="A35" s="196">
        <v>46119.679918981485</v>
      </c>
      <c r="B35" s="196">
        <v>46122.449965277781</v>
      </c>
      <c r="C35" s="192" t="s">
        <v>507</v>
      </c>
      <c r="D35" s="192" t="s">
        <v>943</v>
      </c>
      <c r="E35">
        <v>14</v>
      </c>
      <c r="F35">
        <v>239331</v>
      </c>
      <c r="G35" s="192" t="s">
        <v>872</v>
      </c>
      <c r="H35" s="196">
        <v>46129.449993379632</v>
      </c>
      <c r="I35" s="192" t="s">
        <v>944</v>
      </c>
      <c r="J35" s="192" t="s">
        <v>660</v>
      </c>
      <c r="K35" s="192" t="s">
        <v>660</v>
      </c>
      <c r="L35" s="192" t="s">
        <v>660</v>
      </c>
      <c r="M35" s="192" t="s">
        <v>660</v>
      </c>
      <c r="N35">
        <v>50.116900000000001</v>
      </c>
      <c r="O35">
        <v>8.6837</v>
      </c>
      <c r="P35" s="192" t="s">
        <v>661</v>
      </c>
      <c r="Q35" s="192" t="s">
        <v>662</v>
      </c>
      <c r="R35" s="192" t="s">
        <v>3</v>
      </c>
      <c r="S35" s="192" t="s">
        <v>741</v>
      </c>
      <c r="T35" s="192" t="s">
        <v>945</v>
      </c>
      <c r="U35" s="192" t="s">
        <v>946</v>
      </c>
      <c r="V35" s="192" t="s">
        <v>947</v>
      </c>
      <c r="W35" s="192" t="s">
        <v>948</v>
      </c>
      <c r="X35" s="192" t="s">
        <v>949</v>
      </c>
      <c r="Y35" s="192" t="s">
        <v>947</v>
      </c>
      <c r="Z35" s="192" t="s">
        <v>950</v>
      </c>
      <c r="AA35" s="192" t="s">
        <v>951</v>
      </c>
      <c r="AB35" s="192" t="s">
        <v>952</v>
      </c>
      <c r="AC35" s="192" t="s">
        <v>138</v>
      </c>
      <c r="AD35" s="192" t="s">
        <v>660</v>
      </c>
      <c r="AE35" s="192" t="s">
        <v>686</v>
      </c>
      <c r="AF35" s="192" t="s">
        <v>953</v>
      </c>
      <c r="AG35" s="192" t="s">
        <v>660</v>
      </c>
      <c r="AH35" s="192" t="s">
        <v>954</v>
      </c>
      <c r="AI35" s="192" t="s">
        <v>955</v>
      </c>
      <c r="AJ35" s="192" t="s">
        <v>714</v>
      </c>
      <c r="AK35" s="192" t="s">
        <v>668</v>
      </c>
      <c r="AL35" s="192" t="s">
        <v>956</v>
      </c>
      <c r="AM35" s="192" t="s">
        <v>956</v>
      </c>
      <c r="AN35" s="192" t="s">
        <v>668</v>
      </c>
      <c r="AO35" s="192" t="s">
        <v>668</v>
      </c>
      <c r="AP35" s="192" t="s">
        <v>668</v>
      </c>
      <c r="AQ35" s="192" t="s">
        <v>668</v>
      </c>
      <c r="AR35" s="192" t="s">
        <v>660</v>
      </c>
      <c r="AS35" s="192" t="s">
        <v>660</v>
      </c>
      <c r="AT35" s="192" t="s">
        <v>660</v>
      </c>
      <c r="AU35" s="192" t="s">
        <v>660</v>
      </c>
      <c r="AV35" s="192" t="s">
        <v>660</v>
      </c>
      <c r="AW35" s="192" t="s">
        <v>660</v>
      </c>
      <c r="AX35" s="192" t="s">
        <v>660</v>
      </c>
      <c r="AY35" s="192" t="s">
        <v>660</v>
      </c>
      <c r="AZ35" s="192" t="s">
        <v>660</v>
      </c>
      <c r="BA35" s="192" t="s">
        <v>660</v>
      </c>
      <c r="BB35" s="192" t="s">
        <v>660</v>
      </c>
      <c r="BC35" s="192" t="s">
        <v>660</v>
      </c>
      <c r="BD35" s="192" t="s">
        <v>660</v>
      </c>
      <c r="BE35" s="192" t="s">
        <v>660</v>
      </c>
      <c r="BF35" s="192" t="s">
        <v>660</v>
      </c>
      <c r="BG35" s="192" t="s">
        <v>660</v>
      </c>
      <c r="BH35" s="192" t="s">
        <v>660</v>
      </c>
      <c r="BI35" s="192" t="s">
        <v>660</v>
      </c>
      <c r="BJ35" s="192" t="s">
        <v>660</v>
      </c>
      <c r="BK35" s="192" t="s">
        <v>660</v>
      </c>
      <c r="BL35" s="192" t="s">
        <v>660</v>
      </c>
      <c r="BM35" s="192" t="s">
        <v>660</v>
      </c>
      <c r="BN35" s="192" t="s">
        <v>660</v>
      </c>
      <c r="BO35" s="192" t="s">
        <v>660</v>
      </c>
      <c r="BP35" s="192" t="s">
        <v>660</v>
      </c>
      <c r="BQ35" s="192" t="s">
        <v>660</v>
      </c>
      <c r="BR35" s="192" t="s">
        <v>660</v>
      </c>
      <c r="BS35" s="192" t="s">
        <v>660</v>
      </c>
      <c r="BT35" s="192" t="s">
        <v>660</v>
      </c>
      <c r="BU35" s="192" t="s">
        <v>660</v>
      </c>
      <c r="BV35" s="192" t="s">
        <v>660</v>
      </c>
      <c r="BW35" s="192" t="s">
        <v>660</v>
      </c>
      <c r="BX35" s="192" t="s">
        <v>660</v>
      </c>
      <c r="BY35" s="192" t="s">
        <v>660</v>
      </c>
      <c r="BZ35" s="192" t="s">
        <v>660</v>
      </c>
      <c r="CA35" s="192" t="s">
        <v>660</v>
      </c>
      <c r="CB35" s="192" t="s">
        <v>660</v>
      </c>
      <c r="CC35" s="192" t="s">
        <v>660</v>
      </c>
      <c r="CD35" s="192" t="s">
        <v>660</v>
      </c>
      <c r="CE35" s="192" t="s">
        <v>660</v>
      </c>
      <c r="CF35" s="192" t="s">
        <v>660</v>
      </c>
      <c r="CG35" s="192" t="s">
        <v>660</v>
      </c>
      <c r="CH35" s="192" t="s">
        <v>660</v>
      </c>
      <c r="CI35" s="192" t="s">
        <v>660</v>
      </c>
      <c r="CJ35" s="192" t="s">
        <v>660</v>
      </c>
      <c r="CK35" s="192" t="s">
        <v>660</v>
      </c>
      <c r="CL35" s="192" t="s">
        <v>660</v>
      </c>
      <c r="CM35" s="192" t="s">
        <v>660</v>
      </c>
      <c r="CN35" s="192" t="s">
        <v>660</v>
      </c>
      <c r="CO35" s="192" t="s">
        <v>660</v>
      </c>
      <c r="CP35" s="192" t="s">
        <v>660</v>
      </c>
      <c r="CQ35" s="192" t="s">
        <v>660</v>
      </c>
      <c r="CR35" s="192" t="s">
        <v>660</v>
      </c>
      <c r="CS35" s="192" t="s">
        <v>660</v>
      </c>
      <c r="CT35" s="192" t="s">
        <v>660</v>
      </c>
      <c r="CU35" s="192" t="s">
        <v>660</v>
      </c>
      <c r="CV35" s="192" t="s">
        <v>660</v>
      </c>
      <c r="CW35" s="192" t="s">
        <v>660</v>
      </c>
      <c r="CX35" s="192" t="s">
        <v>660</v>
      </c>
      <c r="CY35" s="192" t="s">
        <v>660</v>
      </c>
      <c r="CZ35" s="192" t="s">
        <v>660</v>
      </c>
      <c r="DA35" s="192" t="s">
        <v>660</v>
      </c>
      <c r="DB35" s="192" t="s">
        <v>660</v>
      </c>
      <c r="DC35" s="192" t="s">
        <v>660</v>
      </c>
      <c r="DD35" s="192" t="s">
        <v>660</v>
      </c>
      <c r="DE35" s="192" t="s">
        <v>660</v>
      </c>
      <c r="DF35" s="192" t="s">
        <v>660</v>
      </c>
      <c r="DG35" s="192" t="s">
        <v>660</v>
      </c>
      <c r="DH35" s="192" t="s">
        <v>660</v>
      </c>
      <c r="DI35" s="192" t="s">
        <v>660</v>
      </c>
      <c r="DJ35" s="192" t="s">
        <v>660</v>
      </c>
      <c r="DK35" s="192" t="s">
        <v>660</v>
      </c>
      <c r="DL35" s="192" t="s">
        <v>660</v>
      </c>
      <c r="DM35" s="192" t="s">
        <v>660</v>
      </c>
      <c r="DN35" s="192" t="s">
        <v>660</v>
      </c>
      <c r="DO35" s="192" t="s">
        <v>660</v>
      </c>
      <c r="DP35" s="192" t="s">
        <v>660</v>
      </c>
      <c r="DQ35" s="192" t="s">
        <v>660</v>
      </c>
      <c r="DR35" s="192" t="s">
        <v>660</v>
      </c>
      <c r="DS35" s="192" t="s">
        <v>660</v>
      </c>
      <c r="DT35" s="192" t="s">
        <v>660</v>
      </c>
      <c r="DU35" s="192" t="s">
        <v>660</v>
      </c>
      <c r="DV35" s="192" t="s">
        <v>660</v>
      </c>
      <c r="DW35" s="192" t="s">
        <v>660</v>
      </c>
      <c r="DX35" s="192" t="s">
        <v>660</v>
      </c>
      <c r="DY35" s="192" t="s">
        <v>660</v>
      </c>
      <c r="DZ35" s="192" t="s">
        <v>660</v>
      </c>
      <c r="EA35" s="192" t="s">
        <v>660</v>
      </c>
      <c r="EB35" s="192" t="s">
        <v>660</v>
      </c>
      <c r="EC35" s="192" t="s">
        <v>660</v>
      </c>
      <c r="ED35" s="192" t="s">
        <v>660</v>
      </c>
      <c r="EE35" s="192" t="s">
        <v>660</v>
      </c>
      <c r="EF35" s="192" t="s">
        <v>660</v>
      </c>
      <c r="EG35" s="192" t="s">
        <v>660</v>
      </c>
      <c r="EH35" s="192" t="s">
        <v>660</v>
      </c>
      <c r="EI35" s="192" t="s">
        <v>660</v>
      </c>
      <c r="EJ35" s="192" t="s">
        <v>660</v>
      </c>
      <c r="EK35" s="192" t="s">
        <v>660</v>
      </c>
      <c r="EL35" s="192" t="s">
        <v>660</v>
      </c>
      <c r="EM35" s="192" t="s">
        <v>660</v>
      </c>
      <c r="EN35" s="192" t="s">
        <v>660</v>
      </c>
      <c r="EO35" s="192" t="s">
        <v>660</v>
      </c>
      <c r="EP35" s="192" t="s">
        <v>660</v>
      </c>
      <c r="EQ35" s="192" t="s">
        <v>660</v>
      </c>
      <c r="ER35" s="192" t="s">
        <v>660</v>
      </c>
      <c r="ES35" s="192" t="s">
        <v>660</v>
      </c>
      <c r="ET35" s="192" t="s">
        <v>660</v>
      </c>
      <c r="EU35" s="192" t="s">
        <v>660</v>
      </c>
      <c r="EV35" s="192" t="s">
        <v>660</v>
      </c>
      <c r="EW35" s="192" t="s">
        <v>660</v>
      </c>
      <c r="EX35" s="192" t="s">
        <v>660</v>
      </c>
      <c r="EY35" s="192" t="s">
        <v>660</v>
      </c>
      <c r="EZ35" s="192" t="s">
        <v>660</v>
      </c>
      <c r="FA35" s="192" t="s">
        <v>660</v>
      </c>
      <c r="FB35" s="192" t="s">
        <v>660</v>
      </c>
      <c r="FC35" s="192" t="s">
        <v>660</v>
      </c>
      <c r="FD35" s="192" t="s">
        <v>660</v>
      </c>
      <c r="FE35" s="192" t="s">
        <v>660</v>
      </c>
      <c r="FF35" s="192" t="s">
        <v>660</v>
      </c>
      <c r="FG35" s="192" t="s">
        <v>660</v>
      </c>
      <c r="FH35" s="192" t="s">
        <v>660</v>
      </c>
      <c r="FI35" s="192" t="s">
        <v>674</v>
      </c>
      <c r="FJ35" s="192" t="s">
        <v>660</v>
      </c>
    </row>
    <row r="36" spans="1:166" ht="120">
      <c r="A36" s="196">
        <v>46119.710902777777</v>
      </c>
      <c r="B36" s="196">
        <v>46122.468831018516</v>
      </c>
      <c r="C36" s="192" t="s">
        <v>507</v>
      </c>
      <c r="D36" s="192" t="s">
        <v>765</v>
      </c>
      <c r="E36">
        <v>3</v>
      </c>
      <c r="F36">
        <v>238284</v>
      </c>
      <c r="G36" s="192" t="s">
        <v>872</v>
      </c>
      <c r="H36" s="196">
        <v>46129.468855289349</v>
      </c>
      <c r="I36" s="192" t="s">
        <v>957</v>
      </c>
      <c r="J36" s="192" t="s">
        <v>660</v>
      </c>
      <c r="K36" s="192" t="s">
        <v>660</v>
      </c>
      <c r="L36" s="192" t="s">
        <v>660</v>
      </c>
      <c r="M36" s="192" t="s">
        <v>660</v>
      </c>
      <c r="N36">
        <v>52.229900000000001</v>
      </c>
      <c r="O36">
        <v>21.0093</v>
      </c>
      <c r="P36" s="192" t="s">
        <v>661</v>
      </c>
      <c r="Q36" s="192" t="s">
        <v>662</v>
      </c>
      <c r="R36" s="192" t="s">
        <v>15</v>
      </c>
      <c r="S36" s="192" t="s">
        <v>958</v>
      </c>
      <c r="T36" s="192" t="s">
        <v>959</v>
      </c>
      <c r="U36" s="192" t="s">
        <v>660</v>
      </c>
      <c r="V36" s="192" t="s">
        <v>660</v>
      </c>
      <c r="W36" s="192" t="s">
        <v>960</v>
      </c>
      <c r="X36" s="192" t="s">
        <v>660</v>
      </c>
      <c r="Y36" s="192" t="s">
        <v>660</v>
      </c>
      <c r="Z36" s="192" t="s">
        <v>660</v>
      </c>
      <c r="AA36" s="192" t="s">
        <v>660</v>
      </c>
      <c r="AB36" s="192" t="s">
        <v>660</v>
      </c>
      <c r="AC36" s="192" t="s">
        <v>660</v>
      </c>
      <c r="AD36" s="192" t="s">
        <v>660</v>
      </c>
      <c r="AE36" s="192" t="s">
        <v>660</v>
      </c>
      <c r="AF36" s="192" t="s">
        <v>660</v>
      </c>
      <c r="AG36" s="192" t="s">
        <v>660</v>
      </c>
      <c r="AH36" s="192" t="s">
        <v>660</v>
      </c>
      <c r="AI36" s="192" t="s">
        <v>660</v>
      </c>
      <c r="AJ36" s="192" t="s">
        <v>660</v>
      </c>
      <c r="AK36" s="192" t="s">
        <v>660</v>
      </c>
      <c r="AL36" s="192" t="s">
        <v>660</v>
      </c>
      <c r="AM36" s="192" t="s">
        <v>660</v>
      </c>
      <c r="AN36" s="192" t="s">
        <v>660</v>
      </c>
      <c r="AO36" s="192" t="s">
        <v>660</v>
      </c>
      <c r="AP36" s="192" t="s">
        <v>660</v>
      </c>
      <c r="AQ36" s="192" t="s">
        <v>660</v>
      </c>
      <c r="AR36" s="192" t="s">
        <v>660</v>
      </c>
      <c r="AS36" s="192" t="s">
        <v>660</v>
      </c>
      <c r="AT36" s="192" t="s">
        <v>660</v>
      </c>
      <c r="AU36" s="192" t="s">
        <v>660</v>
      </c>
      <c r="AV36" s="192" t="s">
        <v>660</v>
      </c>
      <c r="AW36" s="192" t="s">
        <v>660</v>
      </c>
      <c r="AX36" s="192" t="s">
        <v>660</v>
      </c>
      <c r="AY36" s="192" t="s">
        <v>660</v>
      </c>
      <c r="AZ36" s="192" t="s">
        <v>660</v>
      </c>
      <c r="BA36" s="192" t="s">
        <v>660</v>
      </c>
      <c r="BB36" s="192" t="s">
        <v>660</v>
      </c>
      <c r="BC36" s="192" t="s">
        <v>660</v>
      </c>
      <c r="BD36" s="192" t="s">
        <v>660</v>
      </c>
      <c r="BE36" s="192" t="s">
        <v>660</v>
      </c>
      <c r="BF36" s="192" t="s">
        <v>660</v>
      </c>
      <c r="BG36" s="192" t="s">
        <v>660</v>
      </c>
      <c r="BH36" s="192" t="s">
        <v>660</v>
      </c>
      <c r="BI36" s="192" t="s">
        <v>660</v>
      </c>
      <c r="BJ36" s="192" t="s">
        <v>660</v>
      </c>
      <c r="BK36" s="192" t="s">
        <v>660</v>
      </c>
      <c r="BL36" s="192" t="s">
        <v>660</v>
      </c>
      <c r="BM36" s="192" t="s">
        <v>660</v>
      </c>
      <c r="BN36" s="192" t="s">
        <v>660</v>
      </c>
      <c r="BO36" s="192" t="s">
        <v>660</v>
      </c>
      <c r="BP36" s="192" t="s">
        <v>660</v>
      </c>
      <c r="BQ36" s="192" t="s">
        <v>660</v>
      </c>
      <c r="BR36" s="192" t="s">
        <v>660</v>
      </c>
      <c r="BS36" s="192" t="s">
        <v>660</v>
      </c>
      <c r="BT36" s="192" t="s">
        <v>660</v>
      </c>
      <c r="BU36" s="192" t="s">
        <v>660</v>
      </c>
      <c r="BV36" s="192" t="s">
        <v>660</v>
      </c>
      <c r="BW36" s="192" t="s">
        <v>660</v>
      </c>
      <c r="BX36" s="192" t="s">
        <v>660</v>
      </c>
      <c r="BY36" s="192" t="s">
        <v>660</v>
      </c>
      <c r="BZ36" s="192" t="s">
        <v>660</v>
      </c>
      <c r="CA36" s="192" t="s">
        <v>660</v>
      </c>
      <c r="CB36" s="192" t="s">
        <v>660</v>
      </c>
      <c r="CC36" s="192" t="s">
        <v>660</v>
      </c>
      <c r="CD36" s="192" t="s">
        <v>660</v>
      </c>
      <c r="CE36" s="192" t="s">
        <v>660</v>
      </c>
      <c r="CF36" s="192" t="s">
        <v>660</v>
      </c>
      <c r="CG36" s="192" t="s">
        <v>660</v>
      </c>
      <c r="CH36" s="192" t="s">
        <v>660</v>
      </c>
      <c r="CI36" s="192" t="s">
        <v>660</v>
      </c>
      <c r="CJ36" s="192" t="s">
        <v>660</v>
      </c>
      <c r="CK36" s="192" t="s">
        <v>660</v>
      </c>
      <c r="CL36" s="192" t="s">
        <v>660</v>
      </c>
      <c r="CM36" s="192" t="s">
        <v>660</v>
      </c>
      <c r="CN36" s="192" t="s">
        <v>660</v>
      </c>
      <c r="CO36" s="192" t="s">
        <v>660</v>
      </c>
      <c r="CP36" s="192" t="s">
        <v>660</v>
      </c>
      <c r="CQ36" s="192" t="s">
        <v>660</v>
      </c>
      <c r="CR36" s="192" t="s">
        <v>660</v>
      </c>
      <c r="CS36" s="192" t="s">
        <v>660</v>
      </c>
      <c r="CT36" s="192" t="s">
        <v>660</v>
      </c>
      <c r="CU36" s="192" t="s">
        <v>660</v>
      </c>
      <c r="CV36" s="192" t="s">
        <v>660</v>
      </c>
      <c r="CW36" s="192" t="s">
        <v>660</v>
      </c>
      <c r="CX36" s="192" t="s">
        <v>660</v>
      </c>
      <c r="CY36" s="192" t="s">
        <v>660</v>
      </c>
      <c r="CZ36" s="192" t="s">
        <v>660</v>
      </c>
      <c r="DA36" s="192" t="s">
        <v>660</v>
      </c>
      <c r="DB36" s="192" t="s">
        <v>660</v>
      </c>
      <c r="DC36" s="192" t="s">
        <v>660</v>
      </c>
      <c r="DD36" s="192" t="s">
        <v>660</v>
      </c>
      <c r="DE36" s="192" t="s">
        <v>660</v>
      </c>
      <c r="DF36" s="192" t="s">
        <v>660</v>
      </c>
      <c r="DG36" s="192" t="s">
        <v>660</v>
      </c>
      <c r="DH36" s="192" t="s">
        <v>660</v>
      </c>
      <c r="DI36" s="192" t="s">
        <v>660</v>
      </c>
      <c r="DJ36" s="192" t="s">
        <v>660</v>
      </c>
      <c r="DK36" s="192" t="s">
        <v>660</v>
      </c>
      <c r="DL36" s="192" t="s">
        <v>660</v>
      </c>
      <c r="DM36" s="192" t="s">
        <v>660</v>
      </c>
      <c r="DN36" s="192" t="s">
        <v>660</v>
      </c>
      <c r="DO36" s="192" t="s">
        <v>660</v>
      </c>
      <c r="DP36" s="192" t="s">
        <v>660</v>
      </c>
      <c r="DQ36" s="192" t="s">
        <v>660</v>
      </c>
      <c r="DR36" s="192" t="s">
        <v>660</v>
      </c>
      <c r="DS36" s="192" t="s">
        <v>660</v>
      </c>
      <c r="DT36" s="192" t="s">
        <v>660</v>
      </c>
      <c r="DU36" s="192" t="s">
        <v>660</v>
      </c>
      <c r="DV36" s="192" t="s">
        <v>660</v>
      </c>
      <c r="DW36" s="192" t="s">
        <v>660</v>
      </c>
      <c r="DX36" s="192" t="s">
        <v>660</v>
      </c>
      <c r="DY36" s="192" t="s">
        <v>660</v>
      </c>
      <c r="DZ36" s="192" t="s">
        <v>660</v>
      </c>
      <c r="EA36" s="192" t="s">
        <v>660</v>
      </c>
      <c r="EB36" s="192" t="s">
        <v>660</v>
      </c>
      <c r="EC36" s="192" t="s">
        <v>660</v>
      </c>
      <c r="ED36" s="192" t="s">
        <v>660</v>
      </c>
      <c r="EE36" s="192" t="s">
        <v>660</v>
      </c>
      <c r="EF36" s="192" t="s">
        <v>660</v>
      </c>
      <c r="EG36" s="192" t="s">
        <v>660</v>
      </c>
      <c r="EH36" s="192" t="s">
        <v>660</v>
      </c>
      <c r="EI36" s="192" t="s">
        <v>660</v>
      </c>
      <c r="EJ36" s="192" t="s">
        <v>660</v>
      </c>
      <c r="EK36" s="192" t="s">
        <v>660</v>
      </c>
      <c r="EL36" s="192" t="s">
        <v>660</v>
      </c>
      <c r="EM36" s="192" t="s">
        <v>660</v>
      </c>
      <c r="EN36" s="192" t="s">
        <v>660</v>
      </c>
      <c r="EO36" s="192" t="s">
        <v>660</v>
      </c>
      <c r="EP36" s="192" t="s">
        <v>660</v>
      </c>
      <c r="EQ36" s="192" t="s">
        <v>660</v>
      </c>
      <c r="ER36" s="192" t="s">
        <v>660</v>
      </c>
      <c r="ES36" s="192" t="s">
        <v>660</v>
      </c>
      <c r="ET36" s="192" t="s">
        <v>660</v>
      </c>
      <c r="EU36" s="192" t="s">
        <v>660</v>
      </c>
      <c r="EV36" s="192" t="s">
        <v>660</v>
      </c>
      <c r="EW36" s="192" t="s">
        <v>660</v>
      </c>
      <c r="EX36" s="192" t="s">
        <v>660</v>
      </c>
      <c r="EY36" s="192" t="s">
        <v>660</v>
      </c>
      <c r="EZ36" s="192" t="s">
        <v>660</v>
      </c>
      <c r="FA36" s="192" t="s">
        <v>660</v>
      </c>
      <c r="FB36" s="192" t="s">
        <v>660</v>
      </c>
      <c r="FC36" s="192" t="s">
        <v>660</v>
      </c>
      <c r="FD36" s="192" t="s">
        <v>660</v>
      </c>
      <c r="FE36" s="192" t="s">
        <v>660</v>
      </c>
      <c r="FF36" s="192" t="s">
        <v>660</v>
      </c>
      <c r="FG36" s="192" t="s">
        <v>660</v>
      </c>
      <c r="FH36" s="192" t="s">
        <v>660</v>
      </c>
      <c r="FI36" s="192" t="s">
        <v>674</v>
      </c>
      <c r="FJ36" s="192" t="s">
        <v>660</v>
      </c>
    </row>
    <row r="37" spans="1:166" ht="45">
      <c r="A37" s="196">
        <v>46122.501319444447</v>
      </c>
      <c r="B37" s="196">
        <v>46122.504571759258</v>
      </c>
      <c r="C37" s="192" t="s">
        <v>507</v>
      </c>
      <c r="D37" s="192" t="s">
        <v>961</v>
      </c>
      <c r="E37">
        <v>1</v>
      </c>
      <c r="F37">
        <v>280</v>
      </c>
      <c r="G37" s="192" t="s">
        <v>872</v>
      </c>
      <c r="H37" s="196">
        <v>46129.504580995374</v>
      </c>
      <c r="I37" s="192" t="s">
        <v>962</v>
      </c>
      <c r="J37" s="192" t="s">
        <v>660</v>
      </c>
      <c r="K37" s="192" t="s">
        <v>660</v>
      </c>
      <c r="L37" s="192" t="s">
        <v>660</v>
      </c>
      <c r="M37" s="192" t="s">
        <v>660</v>
      </c>
      <c r="N37">
        <v>51.485599999999998</v>
      </c>
      <c r="O37">
        <v>-0.60340000000000005</v>
      </c>
      <c r="P37" s="192" t="s">
        <v>661</v>
      </c>
      <c r="Q37" s="192" t="s">
        <v>662</v>
      </c>
      <c r="R37" s="192" t="s">
        <v>660</v>
      </c>
      <c r="S37" s="192" t="s">
        <v>660</v>
      </c>
      <c r="T37" s="192" t="s">
        <v>660</v>
      </c>
      <c r="U37" s="192" t="s">
        <v>660</v>
      </c>
      <c r="V37" s="192" t="s">
        <v>660</v>
      </c>
      <c r="W37" s="192" t="s">
        <v>660</v>
      </c>
      <c r="X37" s="192" t="s">
        <v>660</v>
      </c>
      <c r="Y37" s="192" t="s">
        <v>660</v>
      </c>
      <c r="Z37" s="192" t="s">
        <v>660</v>
      </c>
      <c r="AA37" s="192" t="s">
        <v>660</v>
      </c>
      <c r="AB37" s="192" t="s">
        <v>660</v>
      </c>
      <c r="AC37" s="192" t="s">
        <v>660</v>
      </c>
      <c r="AD37" s="192" t="s">
        <v>660</v>
      </c>
      <c r="AE37" s="192" t="s">
        <v>660</v>
      </c>
      <c r="AF37" s="192" t="s">
        <v>660</v>
      </c>
      <c r="AG37" s="192" t="s">
        <v>660</v>
      </c>
      <c r="AH37" s="192" t="s">
        <v>660</v>
      </c>
      <c r="AI37" s="192" t="s">
        <v>660</v>
      </c>
      <c r="AJ37" s="192" t="s">
        <v>660</v>
      </c>
      <c r="AK37" s="192" t="s">
        <v>660</v>
      </c>
      <c r="AL37" s="192" t="s">
        <v>660</v>
      </c>
      <c r="AM37" s="192" t="s">
        <v>660</v>
      </c>
      <c r="AN37" s="192" t="s">
        <v>660</v>
      </c>
      <c r="AO37" s="192" t="s">
        <v>660</v>
      </c>
      <c r="AP37" s="192" t="s">
        <v>660</v>
      </c>
      <c r="AQ37" s="192" t="s">
        <v>660</v>
      </c>
      <c r="AR37" s="192" t="s">
        <v>660</v>
      </c>
      <c r="AS37" s="192" t="s">
        <v>660</v>
      </c>
      <c r="AT37" s="192" t="s">
        <v>660</v>
      </c>
      <c r="AU37" s="192" t="s">
        <v>660</v>
      </c>
      <c r="AV37" s="192" t="s">
        <v>660</v>
      </c>
      <c r="AW37" s="192" t="s">
        <v>660</v>
      </c>
      <c r="AX37" s="192" t="s">
        <v>660</v>
      </c>
      <c r="AY37" s="192" t="s">
        <v>660</v>
      </c>
      <c r="AZ37" s="192" t="s">
        <v>660</v>
      </c>
      <c r="BA37" s="192" t="s">
        <v>660</v>
      </c>
      <c r="BB37" s="192" t="s">
        <v>660</v>
      </c>
      <c r="BC37" s="192" t="s">
        <v>660</v>
      </c>
      <c r="BD37" s="192" t="s">
        <v>660</v>
      </c>
      <c r="BE37" s="192" t="s">
        <v>660</v>
      </c>
      <c r="BF37" s="192" t="s">
        <v>660</v>
      </c>
      <c r="BG37" s="192" t="s">
        <v>660</v>
      </c>
      <c r="BH37" s="192" t="s">
        <v>660</v>
      </c>
      <c r="BI37" s="192" t="s">
        <v>660</v>
      </c>
      <c r="BJ37" s="192" t="s">
        <v>660</v>
      </c>
      <c r="BK37" s="192" t="s">
        <v>660</v>
      </c>
      <c r="BL37" s="192" t="s">
        <v>660</v>
      </c>
      <c r="BM37" s="192" t="s">
        <v>660</v>
      </c>
      <c r="BN37" s="192" t="s">
        <v>660</v>
      </c>
      <c r="BO37" s="192" t="s">
        <v>660</v>
      </c>
      <c r="BP37" s="192" t="s">
        <v>660</v>
      </c>
      <c r="BQ37" s="192" t="s">
        <v>660</v>
      </c>
      <c r="BR37" s="192" t="s">
        <v>660</v>
      </c>
      <c r="BS37" s="192" t="s">
        <v>660</v>
      </c>
      <c r="BT37" s="192" t="s">
        <v>660</v>
      </c>
      <c r="BU37" s="192" t="s">
        <v>660</v>
      </c>
      <c r="BV37" s="192" t="s">
        <v>660</v>
      </c>
      <c r="BW37" s="192" t="s">
        <v>660</v>
      </c>
      <c r="BX37" s="192" t="s">
        <v>660</v>
      </c>
      <c r="BY37" s="192" t="s">
        <v>660</v>
      </c>
      <c r="BZ37" s="192" t="s">
        <v>660</v>
      </c>
      <c r="CA37" s="192" t="s">
        <v>660</v>
      </c>
      <c r="CB37" s="192" t="s">
        <v>660</v>
      </c>
      <c r="CC37" s="192" t="s">
        <v>660</v>
      </c>
      <c r="CD37" s="192" t="s">
        <v>660</v>
      </c>
      <c r="CE37" s="192" t="s">
        <v>660</v>
      </c>
      <c r="CF37" s="192" t="s">
        <v>660</v>
      </c>
      <c r="CG37" s="192" t="s">
        <v>660</v>
      </c>
      <c r="CH37" s="192" t="s">
        <v>660</v>
      </c>
      <c r="CI37" s="192" t="s">
        <v>660</v>
      </c>
      <c r="CJ37" s="192" t="s">
        <v>660</v>
      </c>
      <c r="CK37" s="192" t="s">
        <v>660</v>
      </c>
      <c r="CL37" s="192" t="s">
        <v>660</v>
      </c>
      <c r="CM37" s="192" t="s">
        <v>660</v>
      </c>
      <c r="CN37" s="192" t="s">
        <v>660</v>
      </c>
      <c r="CO37" s="192" t="s">
        <v>660</v>
      </c>
      <c r="CP37" s="192" t="s">
        <v>660</v>
      </c>
      <c r="CQ37" s="192" t="s">
        <v>660</v>
      </c>
      <c r="CR37" s="192" t="s">
        <v>660</v>
      </c>
      <c r="CS37" s="192" t="s">
        <v>660</v>
      </c>
      <c r="CT37" s="192" t="s">
        <v>660</v>
      </c>
      <c r="CU37" s="192" t="s">
        <v>660</v>
      </c>
      <c r="CV37" s="192" t="s">
        <v>660</v>
      </c>
      <c r="CW37" s="192" t="s">
        <v>660</v>
      </c>
      <c r="CX37" s="192" t="s">
        <v>660</v>
      </c>
      <c r="CY37" s="192" t="s">
        <v>660</v>
      </c>
      <c r="CZ37" s="192" t="s">
        <v>660</v>
      </c>
      <c r="DA37" s="192" t="s">
        <v>660</v>
      </c>
      <c r="DB37" s="192" t="s">
        <v>660</v>
      </c>
      <c r="DC37" s="192" t="s">
        <v>660</v>
      </c>
      <c r="DD37" s="192" t="s">
        <v>660</v>
      </c>
      <c r="DE37" s="192" t="s">
        <v>660</v>
      </c>
      <c r="DF37" s="192" t="s">
        <v>660</v>
      </c>
      <c r="DG37" s="192" t="s">
        <v>660</v>
      </c>
      <c r="DH37" s="192" t="s">
        <v>660</v>
      </c>
      <c r="DI37" s="192" t="s">
        <v>660</v>
      </c>
      <c r="DJ37" s="192" t="s">
        <v>660</v>
      </c>
      <c r="DK37" s="192" t="s">
        <v>660</v>
      </c>
      <c r="DL37" s="192" t="s">
        <v>660</v>
      </c>
      <c r="DM37" s="192" t="s">
        <v>660</v>
      </c>
      <c r="DN37" s="192" t="s">
        <v>660</v>
      </c>
      <c r="DO37" s="192" t="s">
        <v>660</v>
      </c>
      <c r="DP37" s="192" t="s">
        <v>660</v>
      </c>
      <c r="DQ37" s="192" t="s">
        <v>660</v>
      </c>
      <c r="DR37" s="192" t="s">
        <v>660</v>
      </c>
      <c r="DS37" s="192" t="s">
        <v>660</v>
      </c>
      <c r="DT37" s="192" t="s">
        <v>660</v>
      </c>
      <c r="DU37" s="192" t="s">
        <v>660</v>
      </c>
      <c r="DV37" s="192" t="s">
        <v>660</v>
      </c>
      <c r="DW37" s="192" t="s">
        <v>660</v>
      </c>
      <c r="DX37" s="192" t="s">
        <v>660</v>
      </c>
      <c r="DY37" s="192" t="s">
        <v>660</v>
      </c>
      <c r="DZ37" s="192" t="s">
        <v>660</v>
      </c>
      <c r="EA37" s="192" t="s">
        <v>660</v>
      </c>
      <c r="EB37" s="192" t="s">
        <v>660</v>
      </c>
      <c r="EC37" s="192" t="s">
        <v>660</v>
      </c>
      <c r="ED37" s="192" t="s">
        <v>660</v>
      </c>
      <c r="EE37" s="192" t="s">
        <v>660</v>
      </c>
      <c r="EF37" s="192" t="s">
        <v>660</v>
      </c>
      <c r="EG37" s="192" t="s">
        <v>660</v>
      </c>
      <c r="EH37" s="192" t="s">
        <v>660</v>
      </c>
      <c r="EI37" s="192" t="s">
        <v>660</v>
      </c>
      <c r="EJ37" s="192" t="s">
        <v>660</v>
      </c>
      <c r="EK37" s="192" t="s">
        <v>660</v>
      </c>
      <c r="EL37" s="192" t="s">
        <v>660</v>
      </c>
      <c r="EM37" s="192" t="s">
        <v>660</v>
      </c>
      <c r="EN37" s="192" t="s">
        <v>660</v>
      </c>
      <c r="EO37" s="192" t="s">
        <v>660</v>
      </c>
      <c r="EP37" s="192" t="s">
        <v>660</v>
      </c>
      <c r="EQ37" s="192" t="s">
        <v>660</v>
      </c>
      <c r="ER37" s="192" t="s">
        <v>660</v>
      </c>
      <c r="ES37" s="192" t="s">
        <v>660</v>
      </c>
      <c r="ET37" s="192" t="s">
        <v>660</v>
      </c>
      <c r="EU37" s="192" t="s">
        <v>660</v>
      </c>
      <c r="EV37" s="192" t="s">
        <v>660</v>
      </c>
      <c r="EW37" s="192" t="s">
        <v>660</v>
      </c>
      <c r="EX37" s="192" t="s">
        <v>660</v>
      </c>
      <c r="EY37" s="192" t="s">
        <v>660</v>
      </c>
      <c r="EZ37" s="192" t="s">
        <v>660</v>
      </c>
      <c r="FA37" s="192" t="s">
        <v>660</v>
      </c>
      <c r="FB37" s="192" t="s">
        <v>660</v>
      </c>
      <c r="FC37" s="192" t="s">
        <v>660</v>
      </c>
      <c r="FD37" s="192" t="s">
        <v>660</v>
      </c>
      <c r="FE37" s="192" t="s">
        <v>660</v>
      </c>
      <c r="FF37" s="192" t="s">
        <v>660</v>
      </c>
      <c r="FG37" s="192" t="s">
        <v>660</v>
      </c>
      <c r="FH37" s="192" t="s">
        <v>660</v>
      </c>
      <c r="FI37" s="192" t="s">
        <v>674</v>
      </c>
      <c r="FJ37" s="192" t="s">
        <v>660</v>
      </c>
    </row>
    <row r="38" spans="1:166" ht="45">
      <c r="A38" s="196">
        <v>46120.680914351855</v>
      </c>
      <c r="B38" s="196">
        <v>46122.504583333335</v>
      </c>
      <c r="C38" s="192" t="s">
        <v>507</v>
      </c>
      <c r="D38" s="192" t="s">
        <v>961</v>
      </c>
      <c r="E38">
        <v>99</v>
      </c>
      <c r="F38">
        <v>157564</v>
      </c>
      <c r="G38" s="192" t="s">
        <v>872</v>
      </c>
      <c r="H38" s="196">
        <v>46129.50463653935</v>
      </c>
      <c r="I38" s="192" t="s">
        <v>963</v>
      </c>
      <c r="J38" s="192" t="s">
        <v>660</v>
      </c>
      <c r="K38" s="192" t="s">
        <v>660</v>
      </c>
      <c r="L38" s="192" t="s">
        <v>660</v>
      </c>
      <c r="M38" s="192" t="s">
        <v>660</v>
      </c>
      <c r="N38">
        <v>51.485599999999998</v>
      </c>
      <c r="O38">
        <v>-0.60340000000000005</v>
      </c>
      <c r="P38" s="192" t="s">
        <v>661</v>
      </c>
      <c r="Q38" s="192" t="s">
        <v>662</v>
      </c>
      <c r="R38" s="192" t="s">
        <v>2</v>
      </c>
      <c r="S38" s="192" t="s">
        <v>660</v>
      </c>
      <c r="T38" s="192" t="s">
        <v>660</v>
      </c>
      <c r="U38" s="192" t="s">
        <v>660</v>
      </c>
      <c r="V38" s="192" t="s">
        <v>660</v>
      </c>
      <c r="W38" s="192" t="s">
        <v>660</v>
      </c>
      <c r="X38" s="192" t="s">
        <v>660</v>
      </c>
      <c r="Y38" s="192" t="s">
        <v>660</v>
      </c>
      <c r="Z38" s="192" t="s">
        <v>660</v>
      </c>
      <c r="AA38" s="192" t="s">
        <v>660</v>
      </c>
      <c r="AB38" s="192" t="s">
        <v>660</v>
      </c>
      <c r="AC38" s="192" t="s">
        <v>660</v>
      </c>
      <c r="AD38" s="192" t="s">
        <v>660</v>
      </c>
      <c r="AE38" s="192" t="s">
        <v>660</v>
      </c>
      <c r="AF38" s="192" t="s">
        <v>660</v>
      </c>
      <c r="AG38" s="192" t="s">
        <v>660</v>
      </c>
      <c r="AH38" s="192" t="s">
        <v>660</v>
      </c>
      <c r="AI38" s="192" t="s">
        <v>660</v>
      </c>
      <c r="AJ38" s="192" t="s">
        <v>660</v>
      </c>
      <c r="AK38" s="192" t="s">
        <v>660</v>
      </c>
      <c r="AL38" s="192" t="s">
        <v>660</v>
      </c>
      <c r="AM38" s="192" t="s">
        <v>660</v>
      </c>
      <c r="AN38" s="192" t="s">
        <v>660</v>
      </c>
      <c r="AO38" s="192" t="s">
        <v>660</v>
      </c>
      <c r="AP38" s="192" t="s">
        <v>660</v>
      </c>
      <c r="AQ38" s="192" t="s">
        <v>660</v>
      </c>
      <c r="AR38" s="192" t="s">
        <v>660</v>
      </c>
      <c r="AS38" s="192" t="s">
        <v>660</v>
      </c>
      <c r="AT38" s="192" t="s">
        <v>660</v>
      </c>
      <c r="AU38" s="192" t="s">
        <v>660</v>
      </c>
      <c r="AV38" s="192" t="s">
        <v>660</v>
      </c>
      <c r="AW38" s="192" t="s">
        <v>660</v>
      </c>
      <c r="AX38" s="192" t="s">
        <v>660</v>
      </c>
      <c r="AY38" s="192" t="s">
        <v>660</v>
      </c>
      <c r="AZ38" s="192" t="s">
        <v>660</v>
      </c>
      <c r="BA38" s="192" t="s">
        <v>660</v>
      </c>
      <c r="BB38" s="192" t="s">
        <v>660</v>
      </c>
      <c r="BC38" s="192" t="s">
        <v>660</v>
      </c>
      <c r="BD38" s="192" t="s">
        <v>660</v>
      </c>
      <c r="BE38" s="192" t="s">
        <v>660</v>
      </c>
      <c r="BF38" s="192" t="s">
        <v>660</v>
      </c>
      <c r="BG38" s="192" t="s">
        <v>660</v>
      </c>
      <c r="BH38" s="192" t="s">
        <v>660</v>
      </c>
      <c r="BI38" s="192" t="s">
        <v>660</v>
      </c>
      <c r="BJ38" s="192" t="s">
        <v>660</v>
      </c>
      <c r="BK38" s="192" t="s">
        <v>660</v>
      </c>
      <c r="BL38" s="192" t="s">
        <v>660</v>
      </c>
      <c r="BM38" s="192" t="s">
        <v>660</v>
      </c>
      <c r="BN38" s="192" t="s">
        <v>660</v>
      </c>
      <c r="BO38" s="192" t="s">
        <v>660</v>
      </c>
      <c r="BP38" s="192" t="s">
        <v>660</v>
      </c>
      <c r="BQ38" s="192" t="s">
        <v>660</v>
      </c>
      <c r="BR38" s="192" t="s">
        <v>660</v>
      </c>
      <c r="BS38" s="192" t="s">
        <v>660</v>
      </c>
      <c r="BT38" s="192" t="s">
        <v>660</v>
      </c>
      <c r="BU38" s="192" t="s">
        <v>660</v>
      </c>
      <c r="BV38" s="192" t="s">
        <v>660</v>
      </c>
      <c r="BW38" s="192" t="s">
        <v>660</v>
      </c>
      <c r="BX38" s="192" t="s">
        <v>660</v>
      </c>
      <c r="BY38" s="192" t="s">
        <v>660</v>
      </c>
      <c r="BZ38" s="192" t="s">
        <v>660</v>
      </c>
      <c r="CA38" s="192" t="s">
        <v>660</v>
      </c>
      <c r="CB38" s="192" t="s">
        <v>660</v>
      </c>
      <c r="CC38" s="192" t="s">
        <v>660</v>
      </c>
      <c r="CD38" s="192" t="s">
        <v>660</v>
      </c>
      <c r="CE38" s="192" t="s">
        <v>660</v>
      </c>
      <c r="CF38" s="192" t="s">
        <v>660</v>
      </c>
      <c r="CG38" s="192" t="s">
        <v>660</v>
      </c>
      <c r="CH38" s="192" t="s">
        <v>660</v>
      </c>
      <c r="CI38" s="192" t="s">
        <v>660</v>
      </c>
      <c r="CJ38" s="192" t="s">
        <v>660</v>
      </c>
      <c r="CK38" s="192" t="s">
        <v>660</v>
      </c>
      <c r="CL38" s="192" t="s">
        <v>660</v>
      </c>
      <c r="CM38" s="192" t="s">
        <v>660</v>
      </c>
      <c r="CN38" s="192" t="s">
        <v>660</v>
      </c>
      <c r="CO38" s="192" t="s">
        <v>660</v>
      </c>
      <c r="CP38" s="192" t="s">
        <v>660</v>
      </c>
      <c r="CQ38" s="192" t="s">
        <v>660</v>
      </c>
      <c r="CR38" s="192" t="s">
        <v>660</v>
      </c>
      <c r="CS38" s="192" t="s">
        <v>660</v>
      </c>
      <c r="CT38" s="192" t="s">
        <v>660</v>
      </c>
      <c r="CU38" s="192" t="s">
        <v>660</v>
      </c>
      <c r="CV38" s="192" t="s">
        <v>660</v>
      </c>
      <c r="CW38" s="192" t="s">
        <v>660</v>
      </c>
      <c r="CX38" s="192" t="s">
        <v>660</v>
      </c>
      <c r="CY38" s="192" t="s">
        <v>660</v>
      </c>
      <c r="CZ38" s="192" t="s">
        <v>660</v>
      </c>
      <c r="DA38" s="192" t="s">
        <v>660</v>
      </c>
      <c r="DB38" s="192" t="s">
        <v>660</v>
      </c>
      <c r="DC38" s="192" t="s">
        <v>660</v>
      </c>
      <c r="DD38" s="192" t="s">
        <v>660</v>
      </c>
      <c r="DE38" s="192" t="s">
        <v>660</v>
      </c>
      <c r="DF38" s="192" t="s">
        <v>660</v>
      </c>
      <c r="DG38" s="192" t="s">
        <v>660</v>
      </c>
      <c r="DH38" s="192" t="s">
        <v>660</v>
      </c>
      <c r="DI38" s="192" t="s">
        <v>660</v>
      </c>
      <c r="DJ38" s="192" t="s">
        <v>660</v>
      </c>
      <c r="DK38" s="192" t="s">
        <v>660</v>
      </c>
      <c r="DL38" s="192" t="s">
        <v>660</v>
      </c>
      <c r="DM38" s="192" t="s">
        <v>660</v>
      </c>
      <c r="DN38" s="192" t="s">
        <v>660</v>
      </c>
      <c r="DO38" s="192" t="s">
        <v>660</v>
      </c>
      <c r="DP38" s="192" t="s">
        <v>660</v>
      </c>
      <c r="DQ38" s="192" t="s">
        <v>660</v>
      </c>
      <c r="DR38" s="192" t="s">
        <v>660</v>
      </c>
      <c r="DS38" s="192" t="s">
        <v>660</v>
      </c>
      <c r="DT38" s="192" t="s">
        <v>660</v>
      </c>
      <c r="DU38" s="192" t="s">
        <v>660</v>
      </c>
      <c r="DV38" s="192" t="s">
        <v>660</v>
      </c>
      <c r="DW38" s="192" t="s">
        <v>660</v>
      </c>
      <c r="DX38" s="192" t="s">
        <v>660</v>
      </c>
      <c r="DY38" s="192" t="s">
        <v>660</v>
      </c>
      <c r="DZ38" s="192" t="s">
        <v>660</v>
      </c>
      <c r="EA38" s="192" t="s">
        <v>660</v>
      </c>
      <c r="EB38" s="192" t="s">
        <v>660</v>
      </c>
      <c r="EC38" s="192" t="s">
        <v>660</v>
      </c>
      <c r="ED38" s="192" t="s">
        <v>660</v>
      </c>
      <c r="EE38" s="192" t="s">
        <v>660</v>
      </c>
      <c r="EF38" s="192" t="s">
        <v>660</v>
      </c>
      <c r="EG38" s="192" t="s">
        <v>660</v>
      </c>
      <c r="EH38" s="192" t="s">
        <v>660</v>
      </c>
      <c r="EI38" s="192" t="s">
        <v>660</v>
      </c>
      <c r="EJ38" s="192" t="s">
        <v>660</v>
      </c>
      <c r="EK38" s="192" t="s">
        <v>660</v>
      </c>
      <c r="EL38" s="192" t="s">
        <v>660</v>
      </c>
      <c r="EM38" s="192" t="s">
        <v>660</v>
      </c>
      <c r="EN38" s="192" t="s">
        <v>660</v>
      </c>
      <c r="EO38" s="192" t="s">
        <v>660</v>
      </c>
      <c r="EP38" s="192" t="s">
        <v>660</v>
      </c>
      <c r="EQ38" s="192" t="s">
        <v>660</v>
      </c>
      <c r="ER38" s="192" t="s">
        <v>660</v>
      </c>
      <c r="ES38" s="192" t="s">
        <v>660</v>
      </c>
      <c r="ET38" s="192" t="s">
        <v>660</v>
      </c>
      <c r="EU38" s="192" t="s">
        <v>660</v>
      </c>
      <c r="EV38" s="192" t="s">
        <v>660</v>
      </c>
      <c r="EW38" s="192" t="s">
        <v>660</v>
      </c>
      <c r="EX38" s="192" t="s">
        <v>660</v>
      </c>
      <c r="EY38" s="192" t="s">
        <v>660</v>
      </c>
      <c r="EZ38" s="192" t="s">
        <v>660</v>
      </c>
      <c r="FA38" s="192" t="s">
        <v>660</v>
      </c>
      <c r="FB38" s="192" t="s">
        <v>660</v>
      </c>
      <c r="FC38" s="192" t="s">
        <v>660</v>
      </c>
      <c r="FD38" s="192" t="s">
        <v>660</v>
      </c>
      <c r="FE38" s="192" t="s">
        <v>660</v>
      </c>
      <c r="FF38" s="192" t="s">
        <v>660</v>
      </c>
      <c r="FG38" s="192" t="s">
        <v>660</v>
      </c>
      <c r="FH38" s="192" t="s">
        <v>660</v>
      </c>
      <c r="FI38" s="192" t="s">
        <v>674</v>
      </c>
      <c r="FJ38" s="192" t="s">
        <v>660</v>
      </c>
    </row>
    <row r="39" spans="1:166" ht="180">
      <c r="A39" s="196">
        <v>46132.156331018516</v>
      </c>
      <c r="B39" s="196">
        <v>46132.160555555558</v>
      </c>
      <c r="C39" s="192" t="s">
        <v>507</v>
      </c>
      <c r="D39" s="192" t="s">
        <v>927</v>
      </c>
      <c r="E39">
        <v>100</v>
      </c>
      <c r="F39">
        <v>364</v>
      </c>
      <c r="G39" s="192" t="s">
        <v>658</v>
      </c>
      <c r="H39" s="196">
        <v>46132.160563495374</v>
      </c>
      <c r="I39" s="192" t="s">
        <v>964</v>
      </c>
      <c r="J39" s="192" t="s">
        <v>660</v>
      </c>
      <c r="K39" s="192" t="s">
        <v>660</v>
      </c>
      <c r="L39" s="192" t="s">
        <v>660</v>
      </c>
      <c r="M39" s="192" t="s">
        <v>660</v>
      </c>
      <c r="N39">
        <v>37.487299999999998</v>
      </c>
      <c r="O39">
        <v>126.92270000000001</v>
      </c>
      <c r="P39" s="192" t="s">
        <v>661</v>
      </c>
      <c r="Q39" s="192" t="s">
        <v>662</v>
      </c>
      <c r="R39" s="192" t="s">
        <v>4</v>
      </c>
      <c r="S39" s="192" t="s">
        <v>728</v>
      </c>
      <c r="T39" s="192" t="s">
        <v>660</v>
      </c>
      <c r="U39" s="192" t="s">
        <v>660</v>
      </c>
      <c r="V39" s="192" t="s">
        <v>660</v>
      </c>
      <c r="W39" s="192" t="s">
        <v>157</v>
      </c>
      <c r="X39" s="192" t="s">
        <v>161</v>
      </c>
      <c r="Y39" s="192" t="s">
        <v>660</v>
      </c>
      <c r="Z39" s="192" t="s">
        <v>152</v>
      </c>
      <c r="AA39" s="192" t="s">
        <v>660</v>
      </c>
      <c r="AB39" s="192" t="s">
        <v>660</v>
      </c>
      <c r="AC39" s="192" t="s">
        <v>660</v>
      </c>
      <c r="AD39" s="192" t="s">
        <v>660</v>
      </c>
      <c r="AE39" s="192" t="s">
        <v>660</v>
      </c>
      <c r="AF39" s="192" t="s">
        <v>660</v>
      </c>
      <c r="AG39" s="192" t="s">
        <v>660</v>
      </c>
      <c r="AH39" s="192" t="s">
        <v>660</v>
      </c>
      <c r="AI39" s="192" t="s">
        <v>660</v>
      </c>
      <c r="AJ39" s="192" t="s">
        <v>660</v>
      </c>
      <c r="AK39" s="192" t="s">
        <v>660</v>
      </c>
      <c r="AL39" s="192" t="s">
        <v>660</v>
      </c>
      <c r="AM39" s="192" t="s">
        <v>660</v>
      </c>
      <c r="AN39" s="192" t="s">
        <v>660</v>
      </c>
      <c r="AO39" s="192" t="s">
        <v>660</v>
      </c>
      <c r="AP39" s="192" t="s">
        <v>660</v>
      </c>
      <c r="AQ39" s="192" t="s">
        <v>660</v>
      </c>
      <c r="AR39" s="192" t="s">
        <v>660</v>
      </c>
      <c r="AS39" s="192" t="s">
        <v>660</v>
      </c>
      <c r="AT39" s="192" t="s">
        <v>660</v>
      </c>
      <c r="AU39" s="192" t="s">
        <v>660</v>
      </c>
      <c r="AV39" s="192" t="s">
        <v>660</v>
      </c>
      <c r="AW39" s="192" t="s">
        <v>660</v>
      </c>
      <c r="AX39" s="192" t="s">
        <v>660</v>
      </c>
      <c r="AY39" s="192" t="s">
        <v>660</v>
      </c>
      <c r="AZ39" s="192" t="s">
        <v>660</v>
      </c>
      <c r="BA39" s="192" t="s">
        <v>660</v>
      </c>
      <c r="BB39" s="192" t="s">
        <v>660</v>
      </c>
      <c r="BC39" s="192" t="s">
        <v>660</v>
      </c>
      <c r="BD39" s="192" t="s">
        <v>660</v>
      </c>
      <c r="BE39" s="192" t="s">
        <v>660</v>
      </c>
      <c r="BF39" s="192" t="s">
        <v>660</v>
      </c>
      <c r="BG39" s="192" t="s">
        <v>660</v>
      </c>
      <c r="BH39" s="192" t="s">
        <v>660</v>
      </c>
      <c r="BI39" s="192" t="s">
        <v>660</v>
      </c>
      <c r="BJ39" s="192" t="s">
        <v>660</v>
      </c>
      <c r="BK39" s="192" t="s">
        <v>660</v>
      </c>
      <c r="BL39" s="192" t="s">
        <v>660</v>
      </c>
      <c r="BM39" s="192" t="s">
        <v>660</v>
      </c>
      <c r="BN39" s="192" t="s">
        <v>660</v>
      </c>
      <c r="BO39" s="192" t="s">
        <v>660</v>
      </c>
      <c r="BP39" s="192" t="s">
        <v>660</v>
      </c>
      <c r="BQ39" s="192" t="s">
        <v>660</v>
      </c>
      <c r="BR39" s="192" t="s">
        <v>660</v>
      </c>
      <c r="BS39" s="192" t="s">
        <v>660</v>
      </c>
      <c r="BT39" s="192" t="s">
        <v>660</v>
      </c>
      <c r="BU39" s="192" t="s">
        <v>660</v>
      </c>
      <c r="BV39" s="192" t="s">
        <v>153</v>
      </c>
      <c r="BW39" s="192" t="s">
        <v>965</v>
      </c>
      <c r="BX39" s="192" t="s">
        <v>664</v>
      </c>
      <c r="BY39" s="192" t="s">
        <v>159</v>
      </c>
      <c r="BZ39" s="192" t="s">
        <v>660</v>
      </c>
      <c r="CA39" s="192" t="s">
        <v>158</v>
      </c>
      <c r="CB39" s="192" t="s">
        <v>892</v>
      </c>
      <c r="CC39" s="192" t="s">
        <v>966</v>
      </c>
      <c r="CD39" s="192" t="s">
        <v>673</v>
      </c>
      <c r="CE39" s="192" t="s">
        <v>967</v>
      </c>
      <c r="CF39" s="192" t="s">
        <v>968</v>
      </c>
      <c r="CG39" s="192" t="s">
        <v>668</v>
      </c>
      <c r="CH39" s="192" t="s">
        <v>668</v>
      </c>
      <c r="CI39" s="192" t="s">
        <v>668</v>
      </c>
      <c r="CJ39" s="192" t="s">
        <v>668</v>
      </c>
      <c r="CK39" s="192" t="s">
        <v>153</v>
      </c>
      <c r="CL39" s="192" t="s">
        <v>969</v>
      </c>
      <c r="CM39" s="192" t="s">
        <v>679</v>
      </c>
      <c r="CN39" s="192" t="s">
        <v>155</v>
      </c>
      <c r="CO39" s="192" t="s">
        <v>660</v>
      </c>
      <c r="CP39" s="192" t="s">
        <v>162</v>
      </c>
      <c r="CQ39" s="192" t="s">
        <v>970</v>
      </c>
      <c r="CR39" s="192" t="s">
        <v>889</v>
      </c>
      <c r="CS39" s="192" t="s">
        <v>668</v>
      </c>
      <c r="CT39" s="192" t="s">
        <v>967</v>
      </c>
      <c r="CU39" s="192" t="s">
        <v>971</v>
      </c>
      <c r="CV39" s="192" t="s">
        <v>668</v>
      </c>
      <c r="CW39" s="192" t="s">
        <v>668</v>
      </c>
      <c r="CX39" s="192" t="s">
        <v>668</v>
      </c>
      <c r="CY39" s="192" t="s">
        <v>673</v>
      </c>
      <c r="CZ39" s="192" t="s">
        <v>660</v>
      </c>
      <c r="DA39" s="192" t="s">
        <v>660</v>
      </c>
      <c r="DB39" s="192" t="s">
        <v>660</v>
      </c>
      <c r="DC39" s="192" t="s">
        <v>660</v>
      </c>
      <c r="DD39" s="192" t="s">
        <v>660</v>
      </c>
      <c r="DE39" s="192" t="s">
        <v>660</v>
      </c>
      <c r="DF39" s="192" t="s">
        <v>660</v>
      </c>
      <c r="DG39" s="192" t="s">
        <v>660</v>
      </c>
      <c r="DH39" s="192" t="s">
        <v>660</v>
      </c>
      <c r="DI39" s="192" t="s">
        <v>660</v>
      </c>
      <c r="DJ39" s="192" t="s">
        <v>660</v>
      </c>
      <c r="DK39" s="192" t="s">
        <v>660</v>
      </c>
      <c r="DL39" s="192" t="s">
        <v>660</v>
      </c>
      <c r="DM39" s="192" t="s">
        <v>660</v>
      </c>
      <c r="DN39" s="192" t="s">
        <v>660</v>
      </c>
      <c r="DO39" s="192" t="s">
        <v>153</v>
      </c>
      <c r="DP39" s="192" t="s">
        <v>972</v>
      </c>
      <c r="DQ39" s="192" t="s">
        <v>679</v>
      </c>
      <c r="DR39" s="192" t="s">
        <v>155</v>
      </c>
      <c r="DS39" s="192" t="s">
        <v>660</v>
      </c>
      <c r="DT39" s="192" t="s">
        <v>154</v>
      </c>
      <c r="DU39" s="192" t="s">
        <v>970</v>
      </c>
      <c r="DV39" s="192" t="s">
        <v>889</v>
      </c>
      <c r="DW39" s="192" t="s">
        <v>668</v>
      </c>
      <c r="DX39" s="192" t="s">
        <v>967</v>
      </c>
      <c r="DY39" s="192" t="s">
        <v>971</v>
      </c>
      <c r="DZ39" s="192" t="s">
        <v>668</v>
      </c>
      <c r="EA39" s="192" t="s">
        <v>668</v>
      </c>
      <c r="EB39" s="192" t="s">
        <v>668</v>
      </c>
      <c r="EC39" s="192" t="s">
        <v>673</v>
      </c>
      <c r="ED39" s="192" t="s">
        <v>660</v>
      </c>
      <c r="EE39" s="192" t="s">
        <v>660</v>
      </c>
      <c r="EF39" s="192" t="s">
        <v>660</v>
      </c>
      <c r="EG39" s="192" t="s">
        <v>660</v>
      </c>
      <c r="EH39" s="192" t="s">
        <v>660</v>
      </c>
      <c r="EI39" s="192" t="s">
        <v>660</v>
      </c>
      <c r="EJ39" s="192" t="s">
        <v>660</v>
      </c>
      <c r="EK39" s="192" t="s">
        <v>660</v>
      </c>
      <c r="EL39" s="192" t="s">
        <v>660</v>
      </c>
      <c r="EM39" s="192" t="s">
        <v>660</v>
      </c>
      <c r="EN39" s="192" t="s">
        <v>660</v>
      </c>
      <c r="EO39" s="192" t="s">
        <v>660</v>
      </c>
      <c r="EP39" s="192" t="s">
        <v>660</v>
      </c>
      <c r="EQ39" s="192" t="s">
        <v>660</v>
      </c>
      <c r="ER39" s="192" t="s">
        <v>660</v>
      </c>
      <c r="ES39" s="192" t="s">
        <v>660</v>
      </c>
      <c r="ET39" s="192" t="s">
        <v>660</v>
      </c>
      <c r="EU39" s="192" t="s">
        <v>660</v>
      </c>
      <c r="EV39" s="192" t="s">
        <v>660</v>
      </c>
      <c r="EW39" s="192" t="s">
        <v>660</v>
      </c>
      <c r="EX39" s="192" t="s">
        <v>660</v>
      </c>
      <c r="EY39" s="192" t="s">
        <v>660</v>
      </c>
      <c r="EZ39" s="192" t="s">
        <v>660</v>
      </c>
      <c r="FA39" s="192" t="s">
        <v>660</v>
      </c>
      <c r="FB39" s="192" t="s">
        <v>660</v>
      </c>
      <c r="FC39" s="192" t="s">
        <v>660</v>
      </c>
      <c r="FD39" s="192" t="s">
        <v>660</v>
      </c>
      <c r="FE39" s="192" t="s">
        <v>660</v>
      </c>
      <c r="FF39" s="192" t="s">
        <v>660</v>
      </c>
      <c r="FG39" s="192" t="s">
        <v>660</v>
      </c>
      <c r="FH39" s="192" t="s">
        <v>660</v>
      </c>
      <c r="FI39" s="192" t="s">
        <v>674</v>
      </c>
      <c r="FJ39" s="192" t="s">
        <v>660</v>
      </c>
    </row>
  </sheetData>
  <autoFilter ref="A1:FJ22" xr:uid="{70A2F166-22D5-4D64-BA11-9467906D64C4}">
    <filterColumn colId="17">
      <filters>
        <filter val="PPL"/>
      </filters>
    </filterColumn>
    <sortState xmlns:xlrd2="http://schemas.microsoft.com/office/spreadsheetml/2017/richdata2" ref="A2:FJ22">
      <sortCondition ref="A1:A22"/>
    </sortState>
  </autoFilter>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2EFF6-C0D4-4D19-ACF8-662CC858F183}">
  <dimension ref="A1:L65"/>
  <sheetViews>
    <sheetView zoomScale="85" zoomScaleNormal="85" workbookViewId="0">
      <selection sqref="A1:XFD1"/>
    </sheetView>
  </sheetViews>
  <sheetFormatPr defaultColWidth="11.42578125" defaultRowHeight="15"/>
  <cols>
    <col min="1" max="1" width="9.42578125" bestFit="1" customWidth="1"/>
    <col min="2" max="2" width="12" bestFit="1" customWidth="1"/>
    <col min="3" max="3" width="132" bestFit="1" customWidth="1"/>
    <col min="4" max="5" width="23.42578125" bestFit="1" customWidth="1"/>
    <col min="6" max="6" width="46.42578125" bestFit="1" customWidth="1"/>
    <col min="8" max="8" width="76.85546875" bestFit="1" customWidth="1"/>
    <col min="9" max="9" width="22.85546875" customWidth="1"/>
  </cols>
  <sheetData>
    <row r="1" spans="1:12">
      <c r="A1" s="188" t="s">
        <v>355</v>
      </c>
      <c r="B1" s="188" t="s">
        <v>973</v>
      </c>
      <c r="C1" s="188" t="s">
        <v>974</v>
      </c>
      <c r="D1" s="188" t="s">
        <v>95</v>
      </c>
      <c r="E1" s="188" t="s">
        <v>96</v>
      </c>
      <c r="F1" s="188" t="s">
        <v>258</v>
      </c>
      <c r="G1" s="188" t="s">
        <v>127</v>
      </c>
      <c r="H1" s="188" t="s">
        <v>128</v>
      </c>
      <c r="I1" s="188" t="s">
        <v>975</v>
      </c>
      <c r="J1" s="188" t="s">
        <v>976</v>
      </c>
      <c r="K1" s="188" t="s">
        <v>977</v>
      </c>
      <c r="L1" s="188" t="s">
        <v>978</v>
      </c>
    </row>
    <row r="2" spans="1:12" ht="225" hidden="1">
      <c r="A2" t="s">
        <v>14</v>
      </c>
      <c r="B2" t="s">
        <v>22</v>
      </c>
      <c r="C2" t="s">
        <v>302</v>
      </c>
      <c r="D2" s="189" t="s">
        <v>979</v>
      </c>
      <c r="E2" s="189" t="s">
        <v>980</v>
      </c>
      <c r="F2" t="s">
        <v>138</v>
      </c>
      <c r="G2" s="190">
        <v>141841</v>
      </c>
      <c r="H2" t="s">
        <v>265</v>
      </c>
      <c r="I2" s="191"/>
      <c r="J2" s="191" t="s">
        <v>981</v>
      </c>
      <c r="K2" s="191" t="s">
        <v>303</v>
      </c>
      <c r="L2" s="191" t="s">
        <v>669</v>
      </c>
    </row>
    <row r="3" spans="1:12" ht="195" hidden="1">
      <c r="A3" t="s">
        <v>14</v>
      </c>
      <c r="B3" t="s">
        <v>133</v>
      </c>
      <c r="C3" t="s">
        <v>300</v>
      </c>
      <c r="D3" s="189" t="s">
        <v>982</v>
      </c>
      <c r="E3" s="189" t="s">
        <v>983</v>
      </c>
      <c r="F3" t="s">
        <v>138</v>
      </c>
      <c r="G3" s="190">
        <v>27341</v>
      </c>
      <c r="H3" t="s">
        <v>265</v>
      </c>
      <c r="I3" s="191"/>
      <c r="J3" s="191" t="s">
        <v>984</v>
      </c>
      <c r="K3" s="191" t="s">
        <v>301</v>
      </c>
      <c r="L3" s="191" t="s">
        <v>669</v>
      </c>
    </row>
    <row r="4" spans="1:12" ht="90" hidden="1">
      <c r="A4" t="s">
        <v>9</v>
      </c>
      <c r="B4" t="s">
        <v>22</v>
      </c>
      <c r="C4" t="s">
        <v>232</v>
      </c>
      <c r="D4" s="189" t="s">
        <v>985</v>
      </c>
      <c r="E4" s="189" t="s">
        <v>986</v>
      </c>
      <c r="F4" t="s">
        <v>233</v>
      </c>
      <c r="G4" t="s">
        <v>234</v>
      </c>
      <c r="H4" t="s">
        <v>235</v>
      </c>
      <c r="I4" s="191" t="s">
        <v>678</v>
      </c>
      <c r="J4" s="191" t="s">
        <v>987</v>
      </c>
      <c r="K4" s="191" t="s">
        <v>684</v>
      </c>
      <c r="L4" s="191" t="s">
        <v>685</v>
      </c>
    </row>
    <row r="5" spans="1:12" ht="75" hidden="1">
      <c r="A5" t="s">
        <v>9</v>
      </c>
      <c r="B5" t="s">
        <v>22</v>
      </c>
      <c r="C5" t="s">
        <v>221</v>
      </c>
      <c r="D5" s="189" t="s">
        <v>988</v>
      </c>
      <c r="E5" s="189" t="s">
        <v>989</v>
      </c>
      <c r="F5" t="s">
        <v>49</v>
      </c>
      <c r="G5" t="s">
        <v>222</v>
      </c>
      <c r="H5" t="s">
        <v>231</v>
      </c>
      <c r="I5" s="191"/>
      <c r="J5" s="191" t="s">
        <v>990</v>
      </c>
      <c r="K5" s="191" t="s">
        <v>684</v>
      </c>
      <c r="L5" s="191" t="s">
        <v>685</v>
      </c>
    </row>
    <row r="6" spans="1:12" ht="105" hidden="1">
      <c r="A6" t="s">
        <v>9</v>
      </c>
      <c r="B6" t="s">
        <v>28</v>
      </c>
      <c r="C6" t="s">
        <v>240</v>
      </c>
      <c r="D6" s="189" t="s">
        <v>991</v>
      </c>
      <c r="E6" s="189" t="s">
        <v>986</v>
      </c>
      <c r="F6" t="s">
        <v>241</v>
      </c>
      <c r="G6" t="s">
        <v>242</v>
      </c>
      <c r="H6" t="s">
        <v>243</v>
      </c>
      <c r="I6" s="191" t="s">
        <v>689</v>
      </c>
      <c r="J6" s="191" t="s">
        <v>992</v>
      </c>
      <c r="K6" s="191" t="s">
        <v>684</v>
      </c>
      <c r="L6" s="191" t="s">
        <v>685</v>
      </c>
    </row>
    <row r="7" spans="1:12" ht="75" hidden="1">
      <c r="A7" t="s">
        <v>9</v>
      </c>
      <c r="B7" t="s">
        <v>28</v>
      </c>
      <c r="C7" t="s">
        <v>237</v>
      </c>
      <c r="D7" s="189" t="s">
        <v>993</v>
      </c>
      <c r="E7" s="189" t="s">
        <v>994</v>
      </c>
      <c r="F7" t="s">
        <v>238</v>
      </c>
      <c r="G7" t="s">
        <v>239</v>
      </c>
      <c r="H7" t="s">
        <v>236</v>
      </c>
      <c r="I7" s="191" t="s">
        <v>693</v>
      </c>
      <c r="J7" s="191" t="s">
        <v>995</v>
      </c>
      <c r="K7" s="191" t="s">
        <v>684</v>
      </c>
      <c r="L7" s="191" t="s">
        <v>685</v>
      </c>
    </row>
    <row r="8" spans="1:12" ht="75" hidden="1">
      <c r="A8" t="s">
        <v>9</v>
      </c>
      <c r="B8" t="s">
        <v>28</v>
      </c>
      <c r="C8" t="s">
        <v>221</v>
      </c>
      <c r="D8" s="189" t="s">
        <v>988</v>
      </c>
      <c r="E8" s="189" t="s">
        <v>989</v>
      </c>
      <c r="F8" t="s">
        <v>49</v>
      </c>
      <c r="G8" t="s">
        <v>222</v>
      </c>
      <c r="H8" t="s">
        <v>236</v>
      </c>
      <c r="I8" s="191"/>
      <c r="J8" s="191" t="s">
        <v>996</v>
      </c>
      <c r="K8" s="191" t="s">
        <v>684</v>
      </c>
      <c r="L8" s="191" t="s">
        <v>685</v>
      </c>
    </row>
    <row r="9" spans="1:12" ht="75" hidden="1">
      <c r="A9" t="s">
        <v>9</v>
      </c>
      <c r="B9" t="s">
        <v>133</v>
      </c>
      <c r="C9" t="s">
        <v>224</v>
      </c>
      <c r="D9" s="189" t="s">
        <v>997</v>
      </c>
      <c r="E9" s="189" t="s">
        <v>998</v>
      </c>
      <c r="F9" t="s">
        <v>225</v>
      </c>
      <c r="G9" t="s">
        <v>226</v>
      </c>
      <c r="H9" t="s">
        <v>227</v>
      </c>
      <c r="I9" s="191" t="s">
        <v>697</v>
      </c>
      <c r="J9" s="191" t="s">
        <v>999</v>
      </c>
      <c r="K9" s="191" t="s">
        <v>684</v>
      </c>
      <c r="L9" s="191" t="s">
        <v>685</v>
      </c>
    </row>
    <row r="10" spans="1:12" ht="105" hidden="1">
      <c r="A10" t="s">
        <v>9</v>
      </c>
      <c r="B10" t="s">
        <v>133</v>
      </c>
      <c r="C10" t="s">
        <v>228</v>
      </c>
      <c r="D10" s="189" t="s">
        <v>1000</v>
      </c>
      <c r="E10" s="189" t="s">
        <v>1001</v>
      </c>
      <c r="F10" t="s">
        <v>51</v>
      </c>
      <c r="G10" t="s">
        <v>229</v>
      </c>
      <c r="H10" t="s">
        <v>230</v>
      </c>
      <c r="I10" s="191"/>
      <c r="J10" s="191" t="s">
        <v>1002</v>
      </c>
      <c r="K10" s="191" t="s">
        <v>684</v>
      </c>
      <c r="L10" s="191" t="s">
        <v>685</v>
      </c>
    </row>
    <row r="11" spans="1:12" ht="75" hidden="1">
      <c r="A11" t="s">
        <v>9</v>
      </c>
      <c r="B11" t="s">
        <v>133</v>
      </c>
      <c r="C11" t="s">
        <v>221</v>
      </c>
      <c r="D11" s="189" t="s">
        <v>988</v>
      </c>
      <c r="E11" s="189" t="s">
        <v>989</v>
      </c>
      <c r="F11" t="s">
        <v>49</v>
      </c>
      <c r="G11" t="s">
        <v>222</v>
      </c>
      <c r="H11" t="s">
        <v>183</v>
      </c>
      <c r="I11" s="191"/>
      <c r="J11" s="191" t="s">
        <v>1003</v>
      </c>
      <c r="K11" s="191" t="s">
        <v>684</v>
      </c>
      <c r="L11" s="191" t="s">
        <v>685</v>
      </c>
    </row>
    <row r="12" spans="1:12" ht="60" hidden="1">
      <c r="A12" t="s">
        <v>12</v>
      </c>
      <c r="B12" t="s">
        <v>28</v>
      </c>
      <c r="C12" t="s">
        <v>286</v>
      </c>
      <c r="D12" s="189" t="s">
        <v>1004</v>
      </c>
      <c r="E12" s="189" t="s">
        <v>1005</v>
      </c>
      <c r="F12" t="s">
        <v>287</v>
      </c>
      <c r="G12" t="s">
        <v>288</v>
      </c>
      <c r="H12" t="s">
        <v>289</v>
      </c>
      <c r="I12" s="191" t="s">
        <v>693</v>
      </c>
      <c r="J12" s="191" t="s">
        <v>1006</v>
      </c>
      <c r="K12" s="191" t="s">
        <v>711</v>
      </c>
      <c r="L12" s="191" t="s">
        <v>712</v>
      </c>
    </row>
    <row r="13" spans="1:12" ht="90" hidden="1">
      <c r="A13" t="s">
        <v>12</v>
      </c>
      <c r="B13" t="s">
        <v>28</v>
      </c>
      <c r="C13" t="s">
        <v>279</v>
      </c>
      <c r="D13" s="189" t="s">
        <v>988</v>
      </c>
      <c r="E13" s="189" t="s">
        <v>989</v>
      </c>
      <c r="F13" t="s">
        <v>49</v>
      </c>
      <c r="G13" t="s">
        <v>280</v>
      </c>
      <c r="H13" t="s">
        <v>284</v>
      </c>
      <c r="I13" s="191"/>
      <c r="J13" s="191" t="s">
        <v>1007</v>
      </c>
      <c r="K13" s="191" t="s">
        <v>715</v>
      </c>
      <c r="L13" s="191" t="s">
        <v>716</v>
      </c>
    </row>
    <row r="14" spans="1:12" ht="105" hidden="1">
      <c r="A14" t="s">
        <v>12</v>
      </c>
      <c r="B14" t="s">
        <v>28</v>
      </c>
      <c r="C14" t="s">
        <v>274</v>
      </c>
      <c r="D14" s="189" t="s">
        <v>1008</v>
      </c>
      <c r="E14" s="189" t="s">
        <v>1009</v>
      </c>
      <c r="F14" t="s">
        <v>275</v>
      </c>
      <c r="G14" t="s">
        <v>276</v>
      </c>
      <c r="H14" t="s">
        <v>277</v>
      </c>
      <c r="I14" s="191" t="s">
        <v>718</v>
      </c>
      <c r="J14" s="191" t="s">
        <v>1010</v>
      </c>
      <c r="K14" s="191" t="s">
        <v>721</v>
      </c>
      <c r="L14" s="191" t="s">
        <v>722</v>
      </c>
    </row>
    <row r="15" spans="1:12" ht="90" hidden="1">
      <c r="A15" t="s">
        <v>12</v>
      </c>
      <c r="B15" t="s">
        <v>133</v>
      </c>
      <c r="C15" t="s">
        <v>279</v>
      </c>
      <c r="D15" s="189" t="s">
        <v>988</v>
      </c>
      <c r="E15" s="189" t="s">
        <v>989</v>
      </c>
      <c r="F15" t="s">
        <v>49</v>
      </c>
      <c r="G15" t="s">
        <v>280</v>
      </c>
      <c r="H15" t="s">
        <v>281</v>
      </c>
      <c r="I15" s="191"/>
      <c r="J15" s="191" t="s">
        <v>1011</v>
      </c>
      <c r="K15" s="191" t="s">
        <v>715</v>
      </c>
      <c r="L15" s="191" t="s">
        <v>723</v>
      </c>
    </row>
    <row r="16" spans="1:12" ht="90" hidden="1">
      <c r="A16" t="s">
        <v>12</v>
      </c>
      <c r="B16" t="s">
        <v>133</v>
      </c>
      <c r="C16" t="s">
        <v>274</v>
      </c>
      <c r="D16" s="189" t="s">
        <v>1008</v>
      </c>
      <c r="E16" s="189" t="s">
        <v>1009</v>
      </c>
      <c r="F16" t="s">
        <v>275</v>
      </c>
      <c r="G16" t="s">
        <v>276</v>
      </c>
      <c r="H16" t="s">
        <v>277</v>
      </c>
      <c r="I16" s="191" t="s">
        <v>718</v>
      </c>
      <c r="J16" s="191" t="s">
        <v>1012</v>
      </c>
      <c r="K16" s="191" t="s">
        <v>724</v>
      </c>
      <c r="L16" s="191" t="s">
        <v>725</v>
      </c>
    </row>
    <row r="17" spans="1:12" ht="45" hidden="1">
      <c r="A17" t="s">
        <v>6</v>
      </c>
      <c r="B17" t="s">
        <v>28</v>
      </c>
      <c r="C17" t="s">
        <v>28</v>
      </c>
      <c r="D17" s="189" t="s">
        <v>1013</v>
      </c>
      <c r="E17" s="189" t="s">
        <v>989</v>
      </c>
      <c r="F17" t="s">
        <v>141</v>
      </c>
      <c r="G17">
        <v>100</v>
      </c>
      <c r="H17" t="s">
        <v>193</v>
      </c>
      <c r="I17" s="191"/>
      <c r="J17" s="191" t="s">
        <v>1014</v>
      </c>
      <c r="K17" s="191" t="s">
        <v>731</v>
      </c>
      <c r="L17" s="191" t="s">
        <v>732</v>
      </c>
    </row>
    <row r="18" spans="1:12" ht="45" hidden="1">
      <c r="A18" t="s">
        <v>6</v>
      </c>
      <c r="B18" t="s">
        <v>28</v>
      </c>
      <c r="C18" t="s">
        <v>189</v>
      </c>
      <c r="D18" s="189" t="s">
        <v>1013</v>
      </c>
      <c r="E18" s="189" t="s">
        <v>989</v>
      </c>
      <c r="F18" t="s">
        <v>138</v>
      </c>
      <c r="G18">
        <v>100</v>
      </c>
      <c r="H18" t="s">
        <v>135</v>
      </c>
      <c r="I18" s="191"/>
      <c r="J18" s="191" t="s">
        <v>1015</v>
      </c>
      <c r="K18" s="191" t="s">
        <v>731</v>
      </c>
      <c r="L18" s="191" t="s">
        <v>734</v>
      </c>
    </row>
    <row r="19" spans="1:12" ht="45" hidden="1">
      <c r="A19" t="s">
        <v>6</v>
      </c>
      <c r="B19" t="s">
        <v>133</v>
      </c>
      <c r="C19" t="s">
        <v>189</v>
      </c>
      <c r="D19" s="189" t="s">
        <v>1013</v>
      </c>
      <c r="E19" s="189" t="s">
        <v>989</v>
      </c>
      <c r="F19" t="s">
        <v>141</v>
      </c>
      <c r="G19">
        <v>190</v>
      </c>
      <c r="H19" t="s">
        <v>190</v>
      </c>
      <c r="I19" s="191"/>
      <c r="J19" s="191" t="s">
        <v>1016</v>
      </c>
      <c r="K19" s="191" t="s">
        <v>736</v>
      </c>
      <c r="L19" s="191" t="s">
        <v>737</v>
      </c>
    </row>
    <row r="20" spans="1:12" ht="195" hidden="1">
      <c r="A20" t="s">
        <v>3</v>
      </c>
      <c r="B20" t="s">
        <v>22</v>
      </c>
      <c r="C20" t="s">
        <v>137</v>
      </c>
      <c r="D20" s="189" t="s">
        <v>1017</v>
      </c>
      <c r="E20" s="189" t="s">
        <v>1018</v>
      </c>
      <c r="F20" t="s">
        <v>138</v>
      </c>
      <c r="G20" t="s">
        <v>144</v>
      </c>
      <c r="H20" t="s">
        <v>135</v>
      </c>
      <c r="I20" s="191"/>
      <c r="J20" s="191" t="s">
        <v>1019</v>
      </c>
      <c r="K20" s="191" t="s">
        <v>744</v>
      </c>
      <c r="L20" s="191" t="s">
        <v>745</v>
      </c>
    </row>
    <row r="21" spans="1:12" ht="165" hidden="1">
      <c r="A21" t="s">
        <v>3</v>
      </c>
      <c r="B21" t="s">
        <v>22</v>
      </c>
      <c r="C21" t="s">
        <v>134</v>
      </c>
      <c r="D21" s="189" t="s">
        <v>1020</v>
      </c>
      <c r="E21" s="189" t="s">
        <v>989</v>
      </c>
      <c r="F21" t="s">
        <v>49</v>
      </c>
      <c r="G21">
        <v>182500</v>
      </c>
      <c r="H21" t="s">
        <v>135</v>
      </c>
      <c r="I21" s="191"/>
      <c r="J21" s="191" t="s">
        <v>1021</v>
      </c>
      <c r="K21" s="191" t="s">
        <v>748</v>
      </c>
      <c r="L21" s="191" t="s">
        <v>745</v>
      </c>
    </row>
    <row r="22" spans="1:12" ht="180" hidden="1">
      <c r="A22" t="s">
        <v>3</v>
      </c>
      <c r="B22" t="s">
        <v>22</v>
      </c>
      <c r="C22" t="s">
        <v>146</v>
      </c>
      <c r="D22" s="189" t="s">
        <v>1022</v>
      </c>
      <c r="E22" s="189" t="s">
        <v>1023</v>
      </c>
      <c r="F22" t="s">
        <v>138</v>
      </c>
      <c r="G22">
        <v>70000</v>
      </c>
      <c r="H22" t="s">
        <v>147</v>
      </c>
      <c r="I22" s="191"/>
      <c r="J22" s="191" t="s">
        <v>1024</v>
      </c>
      <c r="K22" s="191" t="s">
        <v>753</v>
      </c>
      <c r="L22" s="191" t="s">
        <v>753</v>
      </c>
    </row>
    <row r="23" spans="1:12" ht="195" hidden="1">
      <c r="A23" t="s">
        <v>3</v>
      </c>
      <c r="B23" t="s">
        <v>28</v>
      </c>
      <c r="C23" t="s">
        <v>137</v>
      </c>
      <c r="D23" s="189" t="s">
        <v>1017</v>
      </c>
      <c r="E23" s="189" t="s">
        <v>1025</v>
      </c>
      <c r="F23" t="s">
        <v>138</v>
      </c>
      <c r="G23">
        <v>190000</v>
      </c>
      <c r="H23" t="s">
        <v>135</v>
      </c>
      <c r="I23" s="191"/>
      <c r="J23" s="191" t="s">
        <v>1026</v>
      </c>
      <c r="K23" s="191" t="s">
        <v>756</v>
      </c>
      <c r="L23" s="191" t="s">
        <v>745</v>
      </c>
    </row>
    <row r="24" spans="1:12" ht="165" hidden="1">
      <c r="A24" t="s">
        <v>3</v>
      </c>
      <c r="B24" t="s">
        <v>28</v>
      </c>
      <c r="C24" t="s">
        <v>134</v>
      </c>
      <c r="D24" s="189" t="s">
        <v>1020</v>
      </c>
      <c r="E24" s="189" t="s">
        <v>989</v>
      </c>
      <c r="F24" t="s">
        <v>49</v>
      </c>
      <c r="G24">
        <v>146000</v>
      </c>
      <c r="H24" t="s">
        <v>135</v>
      </c>
      <c r="I24" s="191"/>
      <c r="J24" s="191" t="s">
        <v>1027</v>
      </c>
      <c r="K24" s="191" t="s">
        <v>748</v>
      </c>
      <c r="L24" s="191" t="s">
        <v>745</v>
      </c>
    </row>
    <row r="25" spans="1:12" ht="180" hidden="1">
      <c r="A25" t="s">
        <v>3</v>
      </c>
      <c r="B25" t="s">
        <v>28</v>
      </c>
      <c r="C25" t="s">
        <v>146</v>
      </c>
      <c r="D25" s="189" t="s">
        <v>1022</v>
      </c>
      <c r="E25" s="189" t="s">
        <v>1023</v>
      </c>
      <c r="F25" t="s">
        <v>138</v>
      </c>
      <c r="G25">
        <v>70000</v>
      </c>
      <c r="H25" t="s">
        <v>147</v>
      </c>
      <c r="I25" s="191"/>
      <c r="J25" s="191" t="s">
        <v>1028</v>
      </c>
      <c r="K25" s="191" t="s">
        <v>753</v>
      </c>
      <c r="L25" s="191" t="s">
        <v>753</v>
      </c>
    </row>
    <row r="26" spans="1:12" ht="180" hidden="1">
      <c r="A26" t="s">
        <v>3</v>
      </c>
      <c r="B26" t="s">
        <v>133</v>
      </c>
      <c r="C26" t="s">
        <v>140</v>
      </c>
      <c r="D26" s="189" t="s">
        <v>1029</v>
      </c>
      <c r="E26" s="189" t="s">
        <v>1030</v>
      </c>
      <c r="F26" t="s">
        <v>141</v>
      </c>
      <c r="G26">
        <v>170000</v>
      </c>
      <c r="H26" t="s">
        <v>142</v>
      </c>
      <c r="I26" s="191"/>
      <c r="J26" s="191" t="s">
        <v>1031</v>
      </c>
      <c r="K26" s="191" t="s">
        <v>761</v>
      </c>
      <c r="L26" s="191" t="s">
        <v>762</v>
      </c>
    </row>
    <row r="27" spans="1:12" ht="195" hidden="1">
      <c r="A27" t="s">
        <v>3</v>
      </c>
      <c r="B27" t="s">
        <v>133</v>
      </c>
      <c r="C27" t="s">
        <v>137</v>
      </c>
      <c r="D27" s="189" t="s">
        <v>1017</v>
      </c>
      <c r="E27" s="189" t="s">
        <v>1025</v>
      </c>
      <c r="F27" t="s">
        <v>138</v>
      </c>
      <c r="G27">
        <v>190000</v>
      </c>
      <c r="H27" t="s">
        <v>135</v>
      </c>
      <c r="I27" s="191"/>
      <c r="J27" s="191" t="s">
        <v>1032</v>
      </c>
      <c r="K27" s="191" t="s">
        <v>763</v>
      </c>
      <c r="L27" s="191" t="s">
        <v>745</v>
      </c>
    </row>
    <row r="28" spans="1:12" ht="165" hidden="1">
      <c r="A28" t="s">
        <v>3</v>
      </c>
      <c r="B28" t="s">
        <v>133</v>
      </c>
      <c r="C28" t="s">
        <v>134</v>
      </c>
      <c r="D28" s="189" t="s">
        <v>1020</v>
      </c>
      <c r="E28" s="189" t="s">
        <v>989</v>
      </c>
      <c r="F28" t="s">
        <v>49</v>
      </c>
      <c r="G28">
        <v>182500</v>
      </c>
      <c r="H28" t="s">
        <v>135</v>
      </c>
      <c r="I28" s="191"/>
      <c r="J28" s="191" t="s">
        <v>1033</v>
      </c>
      <c r="K28" s="191" t="s">
        <v>748</v>
      </c>
      <c r="L28" s="191" t="s">
        <v>745</v>
      </c>
    </row>
    <row r="29" spans="1:12" ht="165" hidden="1">
      <c r="A29" t="s">
        <v>15</v>
      </c>
      <c r="B29" t="s">
        <v>22</v>
      </c>
      <c r="C29" t="s">
        <v>309</v>
      </c>
      <c r="D29" s="189" t="s">
        <v>1034</v>
      </c>
      <c r="E29" s="189" t="s">
        <v>1035</v>
      </c>
      <c r="F29" t="s">
        <v>206</v>
      </c>
      <c r="G29" t="s">
        <v>310</v>
      </c>
      <c r="H29" t="s">
        <v>311</v>
      </c>
      <c r="I29" s="191"/>
      <c r="J29" s="191" t="s">
        <v>1036</v>
      </c>
      <c r="K29" s="191" t="s">
        <v>770</v>
      </c>
      <c r="L29" s="191" t="s">
        <v>770</v>
      </c>
    </row>
    <row r="30" spans="1:12" ht="135" hidden="1">
      <c r="A30" t="s">
        <v>13</v>
      </c>
      <c r="B30" t="s">
        <v>133</v>
      </c>
      <c r="C30" t="s">
        <v>306</v>
      </c>
      <c r="D30" s="189" t="s">
        <v>1037</v>
      </c>
      <c r="E30" s="189" t="s">
        <v>989</v>
      </c>
      <c r="F30" t="s">
        <v>178</v>
      </c>
      <c r="G30" t="s">
        <v>307</v>
      </c>
      <c r="H30" t="s">
        <v>277</v>
      </c>
      <c r="I30" s="191"/>
      <c r="J30" s="191" t="s">
        <v>1038</v>
      </c>
      <c r="K30" s="191" t="s">
        <v>772</v>
      </c>
      <c r="L30" s="191" t="s">
        <v>772</v>
      </c>
    </row>
    <row r="31" spans="1:12" ht="409.5" hidden="1">
      <c r="A31" t="s">
        <v>17</v>
      </c>
      <c r="B31" t="s">
        <v>22</v>
      </c>
      <c r="C31" t="s">
        <v>319</v>
      </c>
      <c r="D31" s="189" t="s">
        <v>1039</v>
      </c>
      <c r="E31" s="189" t="s">
        <v>1035</v>
      </c>
      <c r="F31" t="s">
        <v>320</v>
      </c>
      <c r="G31" t="s">
        <v>321</v>
      </c>
      <c r="H31" t="s">
        <v>322</v>
      </c>
      <c r="I31" s="191" t="s">
        <v>782</v>
      </c>
      <c r="J31" s="191" t="s">
        <v>1040</v>
      </c>
      <c r="K31" s="191" t="s">
        <v>784</v>
      </c>
      <c r="L31" s="191" t="s">
        <v>785</v>
      </c>
    </row>
    <row r="32" spans="1:12" ht="409.5" hidden="1">
      <c r="A32" t="s">
        <v>17</v>
      </c>
      <c r="B32" t="s">
        <v>22</v>
      </c>
      <c r="C32" t="s">
        <v>324</v>
      </c>
      <c r="D32" s="189" t="s">
        <v>1041</v>
      </c>
      <c r="E32" s="189" t="s">
        <v>1042</v>
      </c>
      <c r="F32" t="s">
        <v>325</v>
      </c>
      <c r="G32" t="s">
        <v>326</v>
      </c>
      <c r="H32" t="s">
        <v>317</v>
      </c>
      <c r="I32" s="191" t="s">
        <v>786</v>
      </c>
      <c r="J32" s="191" t="s">
        <v>1043</v>
      </c>
      <c r="K32" s="191" t="s">
        <v>784</v>
      </c>
      <c r="L32" s="191" t="s">
        <v>789</v>
      </c>
    </row>
    <row r="33" spans="1:12" ht="409.5" hidden="1">
      <c r="A33" t="s">
        <v>17</v>
      </c>
      <c r="B33" t="s">
        <v>22</v>
      </c>
      <c r="C33" t="s">
        <v>327</v>
      </c>
      <c r="D33" s="189" t="s">
        <v>1044</v>
      </c>
      <c r="E33" s="189" t="s">
        <v>1045</v>
      </c>
      <c r="F33" t="s">
        <v>141</v>
      </c>
      <c r="G33" t="s">
        <v>328</v>
      </c>
      <c r="H33" t="s">
        <v>329</v>
      </c>
      <c r="I33" s="191"/>
      <c r="J33" s="191" t="s">
        <v>1046</v>
      </c>
      <c r="K33" s="191" t="s">
        <v>784</v>
      </c>
      <c r="L33" s="191" t="s">
        <v>789</v>
      </c>
    </row>
    <row r="34" spans="1:12" ht="409.5" hidden="1">
      <c r="A34" t="s">
        <v>17</v>
      </c>
      <c r="B34" t="s">
        <v>28</v>
      </c>
      <c r="C34" t="s">
        <v>330</v>
      </c>
      <c r="D34" s="189" t="s">
        <v>1047</v>
      </c>
      <c r="E34" s="189" t="s">
        <v>1025</v>
      </c>
      <c r="F34" t="s">
        <v>206</v>
      </c>
      <c r="G34" t="s">
        <v>331</v>
      </c>
      <c r="H34" t="s">
        <v>332</v>
      </c>
      <c r="I34" s="191"/>
      <c r="J34" s="191" t="s">
        <v>1048</v>
      </c>
      <c r="K34" s="191" t="s">
        <v>784</v>
      </c>
      <c r="L34" s="191" t="s">
        <v>789</v>
      </c>
    </row>
    <row r="35" spans="1:12" ht="409.5" hidden="1">
      <c r="A35" t="s">
        <v>17</v>
      </c>
      <c r="B35" t="s">
        <v>133</v>
      </c>
      <c r="C35" t="s">
        <v>315</v>
      </c>
      <c r="D35" s="189" t="s">
        <v>1044</v>
      </c>
      <c r="E35" s="189" t="s">
        <v>1045</v>
      </c>
      <c r="F35" t="s">
        <v>178</v>
      </c>
      <c r="G35" t="s">
        <v>316</v>
      </c>
      <c r="H35" t="s">
        <v>317</v>
      </c>
      <c r="I35" s="191"/>
      <c r="J35" s="191" t="s">
        <v>1049</v>
      </c>
      <c r="K35" s="191" t="s">
        <v>784</v>
      </c>
      <c r="L35" s="191" t="s">
        <v>789</v>
      </c>
    </row>
    <row r="36" spans="1:12" ht="150" hidden="1">
      <c r="A36" t="s">
        <v>8</v>
      </c>
      <c r="B36" t="s">
        <v>22</v>
      </c>
      <c r="C36" t="s">
        <v>210</v>
      </c>
      <c r="D36" s="189" t="s">
        <v>982</v>
      </c>
      <c r="E36" s="189" t="s">
        <v>1025</v>
      </c>
      <c r="F36" t="s">
        <v>206</v>
      </c>
      <c r="G36" t="s">
        <v>211</v>
      </c>
      <c r="H36" t="s">
        <v>212</v>
      </c>
      <c r="I36" s="191"/>
      <c r="J36" s="191" t="s">
        <v>1050</v>
      </c>
      <c r="K36" s="191" t="s">
        <v>1051</v>
      </c>
      <c r="L36" s="191" t="s">
        <v>803</v>
      </c>
    </row>
    <row r="37" spans="1:12" ht="270" hidden="1">
      <c r="A37" t="s">
        <v>8</v>
      </c>
      <c r="B37" t="s">
        <v>28</v>
      </c>
      <c r="C37" t="s">
        <v>214</v>
      </c>
      <c r="D37" s="189" t="s">
        <v>991</v>
      </c>
      <c r="E37" s="189" t="s">
        <v>1052</v>
      </c>
      <c r="F37" t="s">
        <v>215</v>
      </c>
      <c r="G37" t="s">
        <v>216</v>
      </c>
      <c r="H37" t="s">
        <v>217</v>
      </c>
      <c r="I37" s="191" t="s">
        <v>804</v>
      </c>
      <c r="J37" s="191" t="s">
        <v>1053</v>
      </c>
      <c r="K37" s="191" t="s">
        <v>809</v>
      </c>
      <c r="L37" s="191" t="s">
        <v>810</v>
      </c>
    </row>
    <row r="38" spans="1:12" ht="345" hidden="1">
      <c r="A38" t="s">
        <v>8</v>
      </c>
      <c r="B38" t="s">
        <v>133</v>
      </c>
      <c r="C38" t="s">
        <v>205</v>
      </c>
      <c r="D38" s="189" t="s">
        <v>1054</v>
      </c>
      <c r="E38" s="189" t="s">
        <v>1055</v>
      </c>
      <c r="F38" t="s">
        <v>206</v>
      </c>
      <c r="G38" t="s">
        <v>207</v>
      </c>
      <c r="H38" t="s">
        <v>208</v>
      </c>
      <c r="I38" s="191"/>
      <c r="J38" s="191" t="s">
        <v>1056</v>
      </c>
      <c r="K38" s="191" t="s">
        <v>815</v>
      </c>
      <c r="L38" s="191" t="s">
        <v>816</v>
      </c>
    </row>
    <row r="39" spans="1:12" ht="60" hidden="1">
      <c r="A39" t="s">
        <v>11</v>
      </c>
      <c r="B39" t="s">
        <v>28</v>
      </c>
      <c r="C39" t="s">
        <v>263</v>
      </c>
      <c r="D39" s="189" t="s">
        <v>1057</v>
      </c>
      <c r="E39" s="189" t="s">
        <v>1058</v>
      </c>
      <c r="F39" t="s">
        <v>51</v>
      </c>
      <c r="G39" t="s">
        <v>264</v>
      </c>
      <c r="H39" t="s">
        <v>265</v>
      </c>
      <c r="I39" s="191"/>
      <c r="J39" s="191" t="s">
        <v>1059</v>
      </c>
      <c r="K39" s="191" t="s">
        <v>822</v>
      </c>
      <c r="L39" s="191" t="s">
        <v>829</v>
      </c>
    </row>
    <row r="40" spans="1:12" ht="45" hidden="1">
      <c r="B40" t="s">
        <v>28</v>
      </c>
      <c r="C40" t="s">
        <v>268</v>
      </c>
      <c r="D40" s="189" t="s">
        <v>1060</v>
      </c>
      <c r="E40" s="189" t="s">
        <v>1061</v>
      </c>
      <c r="F40" t="s">
        <v>269</v>
      </c>
      <c r="G40" t="s">
        <v>270</v>
      </c>
      <c r="H40" t="s">
        <v>271</v>
      </c>
      <c r="I40" s="191" t="s">
        <v>824</v>
      </c>
      <c r="J40" s="191" t="s">
        <v>1062</v>
      </c>
      <c r="K40" s="191" t="s">
        <v>822</v>
      </c>
      <c r="L40" s="191" t="s">
        <v>829</v>
      </c>
    </row>
    <row r="41" spans="1:12" ht="45" hidden="1">
      <c r="A41" t="s">
        <v>11</v>
      </c>
      <c r="B41" t="s">
        <v>28</v>
      </c>
      <c r="C41" t="s">
        <v>266</v>
      </c>
      <c r="D41" s="189" t="s">
        <v>1063</v>
      </c>
      <c r="E41" s="189" t="s">
        <v>1055</v>
      </c>
      <c r="F41" t="s">
        <v>206</v>
      </c>
      <c r="G41" t="s">
        <v>242</v>
      </c>
      <c r="H41" t="s">
        <v>267</v>
      </c>
      <c r="I41" s="191"/>
      <c r="J41" s="191" t="s">
        <v>1064</v>
      </c>
      <c r="K41" s="191" t="s">
        <v>822</v>
      </c>
      <c r="L41" s="191" t="s">
        <v>829</v>
      </c>
    </row>
    <row r="42" spans="1:12" ht="45" hidden="1">
      <c r="A42" t="s">
        <v>11</v>
      </c>
      <c r="B42" t="s">
        <v>133</v>
      </c>
      <c r="C42" t="s">
        <v>259</v>
      </c>
      <c r="D42" s="189" t="s">
        <v>1017</v>
      </c>
      <c r="E42" s="189" t="s">
        <v>1017</v>
      </c>
      <c r="F42" t="s">
        <v>206</v>
      </c>
      <c r="G42" t="s">
        <v>260</v>
      </c>
      <c r="H42" t="s">
        <v>261</v>
      </c>
      <c r="I42" s="191"/>
      <c r="J42" s="191" t="s">
        <v>1065</v>
      </c>
      <c r="K42" s="191" t="s">
        <v>822</v>
      </c>
      <c r="L42" s="191" t="s">
        <v>829</v>
      </c>
    </row>
    <row r="43" spans="1:12" ht="60" hidden="1">
      <c r="A43" t="s">
        <v>10</v>
      </c>
      <c r="B43" t="s">
        <v>28</v>
      </c>
      <c r="C43" t="s">
        <v>253</v>
      </c>
      <c r="D43" s="189" t="s">
        <v>988</v>
      </c>
      <c r="E43" s="189" t="s">
        <v>1066</v>
      </c>
      <c r="F43" t="s">
        <v>206</v>
      </c>
      <c r="G43" t="s">
        <v>254</v>
      </c>
      <c r="H43" t="s">
        <v>159</v>
      </c>
      <c r="I43" s="191"/>
      <c r="J43" s="191" t="s">
        <v>1067</v>
      </c>
      <c r="K43" s="191" t="s">
        <v>838</v>
      </c>
      <c r="L43" s="191" t="s">
        <v>839</v>
      </c>
    </row>
    <row r="44" spans="1:12" ht="45" hidden="1">
      <c r="A44" t="s">
        <v>10</v>
      </c>
      <c r="B44" t="s">
        <v>133</v>
      </c>
      <c r="C44" t="s">
        <v>246</v>
      </c>
      <c r="D44" s="189" t="s">
        <v>1068</v>
      </c>
      <c r="E44" s="189" t="s">
        <v>1069</v>
      </c>
      <c r="F44" t="s">
        <v>247</v>
      </c>
      <c r="G44" t="s">
        <v>248</v>
      </c>
      <c r="H44" t="s">
        <v>236</v>
      </c>
      <c r="I44" s="191" t="s">
        <v>840</v>
      </c>
      <c r="J44" s="191" t="s">
        <v>1070</v>
      </c>
      <c r="K44" s="191" t="s">
        <v>843</v>
      </c>
      <c r="L44" s="191" t="s">
        <v>844</v>
      </c>
    </row>
    <row r="45" spans="1:12" ht="75" hidden="1">
      <c r="A45" t="s">
        <v>10</v>
      </c>
      <c r="B45" t="s">
        <v>133</v>
      </c>
      <c r="C45" t="s">
        <v>250</v>
      </c>
      <c r="D45" s="189" t="s">
        <v>985</v>
      </c>
      <c r="E45" s="189" t="s">
        <v>1071</v>
      </c>
      <c r="F45" t="s">
        <v>141</v>
      </c>
      <c r="G45" t="s">
        <v>251</v>
      </c>
      <c r="H45" t="s">
        <v>135</v>
      </c>
      <c r="I45" s="191"/>
      <c r="J45" s="191" t="s">
        <v>1072</v>
      </c>
      <c r="K45" s="191" t="s">
        <v>846</v>
      </c>
      <c r="L45" s="191" t="s">
        <v>847</v>
      </c>
    </row>
    <row r="46" spans="1:12" ht="210" hidden="1">
      <c r="A46" t="s">
        <v>7</v>
      </c>
      <c r="B46" t="s">
        <v>28</v>
      </c>
      <c r="C46" t="s">
        <v>200</v>
      </c>
      <c r="D46" s="189" t="s">
        <v>979</v>
      </c>
      <c r="E46" s="189" t="s">
        <v>1073</v>
      </c>
      <c r="F46" t="s">
        <v>138</v>
      </c>
      <c r="G46" t="s">
        <v>201</v>
      </c>
      <c r="H46" t="s">
        <v>147</v>
      </c>
      <c r="I46" s="191"/>
      <c r="J46" s="191" t="s">
        <v>1074</v>
      </c>
      <c r="K46" s="191" t="s">
        <v>855</v>
      </c>
      <c r="L46" s="191" t="s">
        <v>856</v>
      </c>
    </row>
    <row r="47" spans="1:12" ht="90" hidden="1">
      <c r="A47" t="s">
        <v>7</v>
      </c>
      <c r="B47" t="s">
        <v>133</v>
      </c>
      <c r="C47" t="s">
        <v>197</v>
      </c>
      <c r="D47" s="189" t="s">
        <v>1018</v>
      </c>
      <c r="E47" s="189" t="s">
        <v>1073</v>
      </c>
      <c r="F47" t="s">
        <v>138</v>
      </c>
      <c r="G47" t="s">
        <v>198</v>
      </c>
      <c r="H47" t="s">
        <v>147</v>
      </c>
      <c r="I47" s="191"/>
      <c r="J47" s="191" t="s">
        <v>1075</v>
      </c>
      <c r="K47" s="191" t="s">
        <v>857</v>
      </c>
      <c r="L47" s="191" t="s">
        <v>858</v>
      </c>
    </row>
    <row r="48" spans="1:12" ht="45" hidden="1">
      <c r="A48" t="s">
        <v>13</v>
      </c>
      <c r="B48" t="s">
        <v>22</v>
      </c>
      <c r="C48" t="s">
        <v>293</v>
      </c>
      <c r="D48" s="189"/>
      <c r="E48" s="189"/>
      <c r="F48" t="s">
        <v>294</v>
      </c>
      <c r="G48">
        <v>186849</v>
      </c>
      <c r="H48" t="s">
        <v>296</v>
      </c>
      <c r="I48" s="191" t="s">
        <v>861</v>
      </c>
      <c r="J48" s="191" t="s">
        <v>1076</v>
      </c>
      <c r="K48" s="191" t="s">
        <v>865</v>
      </c>
      <c r="L48" s="191" t="s">
        <v>866</v>
      </c>
    </row>
    <row r="49" spans="1:12" ht="45" hidden="1">
      <c r="A49" t="s">
        <v>13</v>
      </c>
      <c r="B49" t="s">
        <v>28</v>
      </c>
      <c r="C49" t="s">
        <v>293</v>
      </c>
      <c r="D49" s="189" t="s">
        <v>988</v>
      </c>
      <c r="E49" s="189" t="s">
        <v>989</v>
      </c>
      <c r="F49" t="s">
        <v>294</v>
      </c>
      <c r="G49">
        <v>186849</v>
      </c>
      <c r="H49" t="s">
        <v>171</v>
      </c>
      <c r="I49" s="191" t="s">
        <v>861</v>
      </c>
      <c r="J49" s="191" t="s">
        <v>1077</v>
      </c>
      <c r="K49" s="191" t="s">
        <v>867</v>
      </c>
      <c r="L49" s="191" t="s">
        <v>868</v>
      </c>
    </row>
    <row r="50" spans="1:12" ht="45" hidden="1">
      <c r="A50" t="s">
        <v>13</v>
      </c>
      <c r="B50" t="s">
        <v>133</v>
      </c>
      <c r="C50" t="s">
        <v>293</v>
      </c>
      <c r="D50" s="189" t="s">
        <v>988</v>
      </c>
      <c r="E50" s="189" t="s">
        <v>989</v>
      </c>
      <c r="F50" t="s">
        <v>294</v>
      </c>
      <c r="G50">
        <v>186240</v>
      </c>
      <c r="H50" t="s">
        <v>171</v>
      </c>
      <c r="I50" s="191" t="s">
        <v>869</v>
      </c>
      <c r="J50" s="191" t="s">
        <v>1078</v>
      </c>
      <c r="K50" s="191" t="s">
        <v>867</v>
      </c>
      <c r="L50" s="191" t="s">
        <v>868</v>
      </c>
    </row>
    <row r="51" spans="1:12" ht="90" hidden="1">
      <c r="A51" t="s">
        <v>5</v>
      </c>
      <c r="B51" t="s">
        <v>22</v>
      </c>
      <c r="C51" t="s">
        <v>173</v>
      </c>
      <c r="D51" s="189" t="s">
        <v>988</v>
      </c>
      <c r="E51" s="189" t="s">
        <v>989</v>
      </c>
      <c r="F51" t="s">
        <v>51</v>
      </c>
      <c r="G51" t="s">
        <v>174</v>
      </c>
      <c r="H51" t="s">
        <v>175</v>
      </c>
      <c r="I51" s="191"/>
      <c r="J51" s="191" t="s">
        <v>1079</v>
      </c>
      <c r="K51" s="191" t="s">
        <v>885</v>
      </c>
      <c r="L51" s="191" t="s">
        <v>883</v>
      </c>
    </row>
    <row r="52" spans="1:12" ht="45" hidden="1">
      <c r="A52" t="s">
        <v>5</v>
      </c>
      <c r="B52" t="s">
        <v>22</v>
      </c>
      <c r="C52" t="s">
        <v>169</v>
      </c>
      <c r="D52" s="189" t="s">
        <v>988</v>
      </c>
      <c r="E52" s="189" t="s">
        <v>989</v>
      </c>
      <c r="F52" t="s">
        <v>49</v>
      </c>
      <c r="G52" t="s">
        <v>176</v>
      </c>
      <c r="H52" t="s">
        <v>171</v>
      </c>
      <c r="I52" s="191"/>
      <c r="J52" s="191" t="s">
        <v>1080</v>
      </c>
      <c r="K52" s="191" t="s">
        <v>884</v>
      </c>
      <c r="L52" s="191" t="s">
        <v>884</v>
      </c>
    </row>
    <row r="53" spans="1:12" ht="90" hidden="1">
      <c r="A53" t="s">
        <v>5</v>
      </c>
      <c r="B53" t="s">
        <v>28</v>
      </c>
      <c r="C53" t="s">
        <v>177</v>
      </c>
      <c r="D53" s="189" t="s">
        <v>988</v>
      </c>
      <c r="E53" s="189" t="s">
        <v>989</v>
      </c>
      <c r="F53" t="s">
        <v>178</v>
      </c>
      <c r="G53" t="s">
        <v>179</v>
      </c>
      <c r="H53" t="s">
        <v>167</v>
      </c>
      <c r="I53" s="191"/>
      <c r="J53" s="191" t="s">
        <v>1081</v>
      </c>
      <c r="K53" s="191" t="s">
        <v>885</v>
      </c>
      <c r="L53" s="191" t="s">
        <v>883</v>
      </c>
    </row>
    <row r="54" spans="1:12" ht="45" hidden="1">
      <c r="A54" t="s">
        <v>5</v>
      </c>
      <c r="B54" t="s">
        <v>28</v>
      </c>
      <c r="C54" t="s">
        <v>185</v>
      </c>
      <c r="D54" s="189" t="s">
        <v>1082</v>
      </c>
      <c r="E54" s="189" t="s">
        <v>1018</v>
      </c>
      <c r="F54" t="s">
        <v>186</v>
      </c>
      <c r="G54">
        <v>166</v>
      </c>
      <c r="H54" t="s">
        <v>159</v>
      </c>
      <c r="I54" s="191" t="s">
        <v>886</v>
      </c>
      <c r="J54" s="191" t="s">
        <v>1083</v>
      </c>
      <c r="K54" s="191" t="s">
        <v>884</v>
      </c>
      <c r="L54" s="191" t="s">
        <v>884</v>
      </c>
    </row>
    <row r="55" spans="1:12" ht="150" hidden="1">
      <c r="A55" t="s">
        <v>5</v>
      </c>
      <c r="B55" t="s">
        <v>28</v>
      </c>
      <c r="C55" t="s">
        <v>180</v>
      </c>
      <c r="D55" s="189" t="s">
        <v>1084</v>
      </c>
      <c r="E55" s="189" t="s">
        <v>1085</v>
      </c>
      <c r="F55" t="s">
        <v>181</v>
      </c>
      <c r="G55" t="s">
        <v>182</v>
      </c>
      <c r="H55" t="s">
        <v>183</v>
      </c>
      <c r="I55" s="191" t="s">
        <v>1086</v>
      </c>
      <c r="J55" s="191" t="s">
        <v>1087</v>
      </c>
      <c r="K55" s="191" t="s">
        <v>894</v>
      </c>
      <c r="L55" s="191" t="s">
        <v>884</v>
      </c>
    </row>
    <row r="56" spans="1:12" ht="45" hidden="1">
      <c r="A56" t="s">
        <v>5</v>
      </c>
      <c r="B56" t="s">
        <v>133</v>
      </c>
      <c r="C56" t="s">
        <v>169</v>
      </c>
      <c r="D56" s="189" t="s">
        <v>988</v>
      </c>
      <c r="E56" s="189" t="s">
        <v>989</v>
      </c>
      <c r="F56" t="s">
        <v>49</v>
      </c>
      <c r="G56" t="s">
        <v>170</v>
      </c>
      <c r="H56" t="s">
        <v>171</v>
      </c>
      <c r="I56" s="191"/>
      <c r="J56" s="191" t="s">
        <v>1088</v>
      </c>
      <c r="K56" s="191" t="s">
        <v>884</v>
      </c>
      <c r="L56" s="191" t="s">
        <v>884</v>
      </c>
    </row>
    <row r="57" spans="1:12" ht="75" hidden="1">
      <c r="A57" t="s">
        <v>5</v>
      </c>
      <c r="B57" t="s">
        <v>133</v>
      </c>
      <c r="C57" t="s">
        <v>165</v>
      </c>
      <c r="D57" s="189" t="s">
        <v>988</v>
      </c>
      <c r="E57" s="189" t="s">
        <v>989</v>
      </c>
      <c r="F57" t="s">
        <v>51</v>
      </c>
      <c r="G57" t="s">
        <v>166</v>
      </c>
      <c r="H57" t="s">
        <v>167</v>
      </c>
      <c r="I57" s="191"/>
      <c r="J57" s="191" t="s">
        <v>1089</v>
      </c>
      <c r="K57" s="191" t="s">
        <v>885</v>
      </c>
      <c r="L57" s="191" t="s">
        <v>883</v>
      </c>
    </row>
    <row r="58" spans="1:12" ht="45" hidden="1">
      <c r="A58" t="s">
        <v>18</v>
      </c>
      <c r="B58" t="s">
        <v>22</v>
      </c>
      <c r="C58" t="s">
        <v>335</v>
      </c>
      <c r="D58" s="189" t="s">
        <v>988</v>
      </c>
      <c r="E58" s="189" t="s">
        <v>989</v>
      </c>
      <c r="F58" t="s">
        <v>206</v>
      </c>
      <c r="G58">
        <v>7500000</v>
      </c>
      <c r="H58" t="s">
        <v>281</v>
      </c>
      <c r="I58" s="191"/>
      <c r="J58" s="191" t="s">
        <v>1090</v>
      </c>
      <c r="K58" s="191" t="s">
        <v>906</v>
      </c>
      <c r="L58" s="191" t="s">
        <v>907</v>
      </c>
    </row>
    <row r="59" spans="1:12" ht="45" hidden="1">
      <c r="A59" t="s">
        <v>18</v>
      </c>
      <c r="B59" t="s">
        <v>28</v>
      </c>
      <c r="C59" t="s">
        <v>335</v>
      </c>
      <c r="D59" s="189" t="s">
        <v>988</v>
      </c>
      <c r="E59" s="189" t="s">
        <v>989</v>
      </c>
      <c r="F59" t="s">
        <v>206</v>
      </c>
      <c r="G59">
        <v>750000</v>
      </c>
      <c r="H59" t="s">
        <v>281</v>
      </c>
      <c r="I59" s="191"/>
      <c r="J59" s="191" t="s">
        <v>1091</v>
      </c>
      <c r="K59" s="191" t="s">
        <v>910</v>
      </c>
      <c r="L59" s="191" t="s">
        <v>910</v>
      </c>
    </row>
    <row r="60" spans="1:12" ht="45" hidden="1">
      <c r="A60" t="s">
        <v>18</v>
      </c>
      <c r="B60" t="s">
        <v>133</v>
      </c>
      <c r="C60" t="s">
        <v>335</v>
      </c>
      <c r="D60" s="189" t="s">
        <v>988</v>
      </c>
      <c r="E60" s="189" t="s">
        <v>989</v>
      </c>
      <c r="F60" t="s">
        <v>206</v>
      </c>
      <c r="G60">
        <v>1000000</v>
      </c>
      <c r="H60" t="s">
        <v>281</v>
      </c>
      <c r="I60" s="191"/>
      <c r="J60" s="191" t="s">
        <v>1092</v>
      </c>
      <c r="K60" s="191" t="s">
        <v>910</v>
      </c>
      <c r="L60" s="191" t="s">
        <v>910</v>
      </c>
    </row>
    <row r="61" spans="1:12" ht="45">
      <c r="A61" t="s">
        <v>2</v>
      </c>
      <c r="B61" t="s">
        <v>22</v>
      </c>
      <c r="C61" t="s">
        <v>130</v>
      </c>
      <c r="D61" s="189"/>
      <c r="E61" s="189"/>
      <c r="I61" s="191"/>
      <c r="J61" s="191" t="s">
        <v>1093</v>
      </c>
      <c r="K61" s="191"/>
      <c r="L61" s="191"/>
    </row>
    <row r="62" spans="1:12" ht="30" hidden="1">
      <c r="A62" t="s">
        <v>4</v>
      </c>
      <c r="B62" t="s">
        <v>28</v>
      </c>
      <c r="C62" t="s">
        <v>930</v>
      </c>
      <c r="D62" s="189"/>
      <c r="E62" s="189"/>
      <c r="I62" s="191"/>
      <c r="J62" s="191" t="s">
        <v>1094</v>
      </c>
      <c r="K62" s="191"/>
      <c r="L62" s="191"/>
    </row>
    <row r="63" spans="1:12" ht="45" hidden="1">
      <c r="A63" t="s">
        <v>4</v>
      </c>
      <c r="B63" t="s">
        <v>28</v>
      </c>
      <c r="C63" t="s">
        <v>157</v>
      </c>
      <c r="D63" s="189" t="s">
        <v>1084</v>
      </c>
      <c r="E63" s="189" t="s">
        <v>1095</v>
      </c>
      <c r="F63" t="s">
        <v>153</v>
      </c>
      <c r="G63" t="s">
        <v>158</v>
      </c>
      <c r="H63" t="s">
        <v>159</v>
      </c>
      <c r="I63" s="191" t="s">
        <v>965</v>
      </c>
      <c r="J63" s="191" t="s">
        <v>1096</v>
      </c>
      <c r="K63" s="191" t="s">
        <v>967</v>
      </c>
      <c r="L63" s="191" t="s">
        <v>968</v>
      </c>
    </row>
    <row r="64" spans="1:12" ht="60" hidden="1">
      <c r="A64" t="s">
        <v>4</v>
      </c>
      <c r="B64" t="s">
        <v>28</v>
      </c>
      <c r="C64" t="s">
        <v>161</v>
      </c>
      <c r="D64" s="189" t="s">
        <v>1097</v>
      </c>
      <c r="E64" s="189" t="s">
        <v>1018</v>
      </c>
      <c r="F64" t="s">
        <v>153</v>
      </c>
      <c r="G64" t="s">
        <v>162</v>
      </c>
      <c r="H64" t="s">
        <v>155</v>
      </c>
      <c r="I64" s="191" t="s">
        <v>969</v>
      </c>
      <c r="J64" s="191" t="s">
        <v>1098</v>
      </c>
      <c r="K64" s="191" t="s">
        <v>967</v>
      </c>
      <c r="L64" s="191" t="s">
        <v>971</v>
      </c>
    </row>
    <row r="65" spans="1:12" ht="60" hidden="1">
      <c r="A65" t="s">
        <v>4</v>
      </c>
      <c r="B65" t="s">
        <v>133</v>
      </c>
      <c r="C65" t="s">
        <v>152</v>
      </c>
      <c r="D65" s="189" t="s">
        <v>1097</v>
      </c>
      <c r="E65" s="189" t="s">
        <v>1018</v>
      </c>
      <c r="F65" t="s">
        <v>153</v>
      </c>
      <c r="G65" t="s">
        <v>154</v>
      </c>
      <c r="H65" t="s">
        <v>155</v>
      </c>
      <c r="I65" s="191" t="s">
        <v>972</v>
      </c>
      <c r="J65" s="191" t="s">
        <v>1099</v>
      </c>
      <c r="K65" s="191" t="s">
        <v>967</v>
      </c>
      <c r="L65" s="191" t="s">
        <v>971</v>
      </c>
    </row>
  </sheetData>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AACE2-4D22-47F4-9B7F-4D727BADC1DF}">
  <dimension ref="A1:FJ13"/>
  <sheetViews>
    <sheetView topLeftCell="AX1" zoomScale="25" zoomScaleNormal="25" workbookViewId="0">
      <selection activeCell="CE7" sqref="CE7"/>
    </sheetView>
  </sheetViews>
  <sheetFormatPr defaultColWidth="9.140625" defaultRowHeight="15"/>
  <cols>
    <col min="20" max="20" width="14.28515625" customWidth="1"/>
  </cols>
  <sheetData>
    <row r="1" spans="1:166">
      <c r="A1" s="195" t="s">
        <v>338</v>
      </c>
      <c r="B1" s="195" t="s">
        <v>339</v>
      </c>
      <c r="C1" s="195" t="s">
        <v>340</v>
      </c>
      <c r="D1" s="195" t="s">
        <v>341</v>
      </c>
      <c r="E1" s="195" t="s">
        <v>342</v>
      </c>
      <c r="F1" s="195" t="s">
        <v>343</v>
      </c>
      <c r="G1" s="195" t="s">
        <v>344</v>
      </c>
      <c r="H1" s="195" t="s">
        <v>345</v>
      </c>
      <c r="I1" s="195" t="s">
        <v>346</v>
      </c>
      <c r="J1" s="195" t="s">
        <v>347</v>
      </c>
      <c r="K1" s="195" t="s">
        <v>348</v>
      </c>
      <c r="L1" s="195" t="s">
        <v>349</v>
      </c>
      <c r="M1" s="195" t="s">
        <v>350</v>
      </c>
      <c r="N1" s="195" t="s">
        <v>351</v>
      </c>
      <c r="O1" s="195" t="s">
        <v>352</v>
      </c>
      <c r="P1" s="195" t="s">
        <v>353</v>
      </c>
      <c r="Q1" s="195" t="s">
        <v>354</v>
      </c>
      <c r="R1" s="195" t="s">
        <v>355</v>
      </c>
      <c r="S1" s="195" t="s">
        <v>356</v>
      </c>
      <c r="T1" s="195" t="s">
        <v>357</v>
      </c>
      <c r="U1" s="195" t="s">
        <v>358</v>
      </c>
      <c r="V1" s="195" t="s">
        <v>359</v>
      </c>
      <c r="W1" s="195" t="s">
        <v>360</v>
      </c>
      <c r="X1" s="195" t="s">
        <v>361</v>
      </c>
      <c r="Y1" s="195" t="s">
        <v>362</v>
      </c>
      <c r="Z1" s="195" t="s">
        <v>363</v>
      </c>
      <c r="AA1" s="195" t="s">
        <v>364</v>
      </c>
      <c r="AB1" s="195" t="s">
        <v>365</v>
      </c>
      <c r="AC1" s="195" t="s">
        <v>366</v>
      </c>
      <c r="AD1" s="195" t="s">
        <v>367</v>
      </c>
      <c r="AE1" s="195" t="s">
        <v>368</v>
      </c>
      <c r="AF1" s="195" t="s">
        <v>369</v>
      </c>
      <c r="AG1" s="195" t="s">
        <v>370</v>
      </c>
      <c r="AH1" s="195" t="s">
        <v>371</v>
      </c>
      <c r="AI1" s="195" t="s">
        <v>372</v>
      </c>
      <c r="AJ1" s="195" t="s">
        <v>373</v>
      </c>
      <c r="AK1" s="195" t="s">
        <v>374</v>
      </c>
      <c r="AL1" s="195" t="s">
        <v>375</v>
      </c>
      <c r="AM1" s="195" t="s">
        <v>376</v>
      </c>
      <c r="AN1" s="195" t="s">
        <v>377</v>
      </c>
      <c r="AO1" s="195" t="s">
        <v>378</v>
      </c>
      <c r="AP1" s="195" t="s">
        <v>379</v>
      </c>
      <c r="AQ1" s="195" t="s">
        <v>380</v>
      </c>
      <c r="AR1" s="195" t="s">
        <v>381</v>
      </c>
      <c r="AS1" s="195" t="s">
        <v>382</v>
      </c>
      <c r="AT1" s="195" t="s">
        <v>383</v>
      </c>
      <c r="AU1" s="195" t="s">
        <v>384</v>
      </c>
      <c r="AV1" s="195" t="s">
        <v>385</v>
      </c>
      <c r="AW1" s="195" t="s">
        <v>386</v>
      </c>
      <c r="AX1" s="195" t="s">
        <v>387</v>
      </c>
      <c r="AY1" s="195" t="s">
        <v>388</v>
      </c>
      <c r="AZ1" s="195" t="s">
        <v>389</v>
      </c>
      <c r="BA1" s="195" t="s">
        <v>390</v>
      </c>
      <c r="BB1" s="195" t="s">
        <v>391</v>
      </c>
      <c r="BC1" s="195" t="s">
        <v>392</v>
      </c>
      <c r="BD1" s="195" t="s">
        <v>393</v>
      </c>
      <c r="BE1" s="195" t="s">
        <v>394</v>
      </c>
      <c r="BF1" s="195" t="s">
        <v>395</v>
      </c>
      <c r="BG1" s="195" t="s">
        <v>396</v>
      </c>
      <c r="BH1" s="195" t="s">
        <v>397</v>
      </c>
      <c r="BI1" s="195" t="s">
        <v>398</v>
      </c>
      <c r="BJ1" s="195" t="s">
        <v>399</v>
      </c>
      <c r="BK1" s="195" t="s">
        <v>400</v>
      </c>
      <c r="BL1" s="195" t="s">
        <v>401</v>
      </c>
      <c r="BM1" s="195" t="s">
        <v>402</v>
      </c>
      <c r="BN1" s="195" t="s">
        <v>403</v>
      </c>
      <c r="BO1" s="195" t="s">
        <v>404</v>
      </c>
      <c r="BP1" s="195" t="s">
        <v>405</v>
      </c>
      <c r="BQ1" s="195" t="s">
        <v>406</v>
      </c>
      <c r="BR1" s="195" t="s">
        <v>407</v>
      </c>
      <c r="BS1" s="195" t="s">
        <v>408</v>
      </c>
      <c r="BT1" s="195" t="s">
        <v>409</v>
      </c>
      <c r="BU1" s="195" t="s">
        <v>410</v>
      </c>
      <c r="BV1" s="195" t="s">
        <v>411</v>
      </c>
      <c r="BW1" s="195" t="s">
        <v>412</v>
      </c>
      <c r="BX1" s="195" t="s">
        <v>413</v>
      </c>
      <c r="BY1" s="195" t="s">
        <v>414</v>
      </c>
      <c r="BZ1" s="195" t="s">
        <v>415</v>
      </c>
      <c r="CA1" s="195" t="s">
        <v>416</v>
      </c>
      <c r="CB1" s="195" t="s">
        <v>417</v>
      </c>
      <c r="CC1" s="195" t="s">
        <v>418</v>
      </c>
      <c r="CD1" s="195" t="s">
        <v>419</v>
      </c>
      <c r="CE1" s="195" t="s">
        <v>420</v>
      </c>
      <c r="CF1" s="195" t="s">
        <v>421</v>
      </c>
      <c r="CG1" s="195" t="s">
        <v>422</v>
      </c>
      <c r="CH1" s="195" t="s">
        <v>423</v>
      </c>
      <c r="CI1" s="195" t="s">
        <v>424</v>
      </c>
      <c r="CJ1" s="195" t="s">
        <v>425</v>
      </c>
      <c r="CK1" s="195" t="s">
        <v>426</v>
      </c>
      <c r="CL1" s="195" t="s">
        <v>427</v>
      </c>
      <c r="CM1" s="195" t="s">
        <v>428</v>
      </c>
      <c r="CN1" s="195" t="s">
        <v>429</v>
      </c>
      <c r="CO1" s="195" t="s">
        <v>430</v>
      </c>
      <c r="CP1" s="195" t="s">
        <v>431</v>
      </c>
      <c r="CQ1" s="195" t="s">
        <v>432</v>
      </c>
      <c r="CR1" s="195" t="s">
        <v>433</v>
      </c>
      <c r="CS1" s="195" t="s">
        <v>434</v>
      </c>
      <c r="CT1" s="195" t="s">
        <v>435</v>
      </c>
      <c r="CU1" s="195" t="s">
        <v>436</v>
      </c>
      <c r="CV1" s="195" t="s">
        <v>437</v>
      </c>
      <c r="CW1" s="195" t="s">
        <v>438</v>
      </c>
      <c r="CX1" s="195" t="s">
        <v>439</v>
      </c>
      <c r="CY1" s="195" t="s">
        <v>440</v>
      </c>
      <c r="CZ1" s="195" t="s">
        <v>441</v>
      </c>
      <c r="DA1" s="195" t="s">
        <v>442</v>
      </c>
      <c r="DB1" s="195" t="s">
        <v>443</v>
      </c>
      <c r="DC1" s="195" t="s">
        <v>444</v>
      </c>
      <c r="DD1" s="195" t="s">
        <v>445</v>
      </c>
      <c r="DE1" s="195" t="s">
        <v>446</v>
      </c>
      <c r="DF1" s="195" t="s">
        <v>447</v>
      </c>
      <c r="DG1" s="195" t="s">
        <v>448</v>
      </c>
      <c r="DH1" s="195" t="s">
        <v>449</v>
      </c>
      <c r="DI1" s="195" t="s">
        <v>450</v>
      </c>
      <c r="DJ1" s="195" t="s">
        <v>451</v>
      </c>
      <c r="DK1" s="195" t="s">
        <v>452</v>
      </c>
      <c r="DL1" s="195" t="s">
        <v>453</v>
      </c>
      <c r="DM1" s="195" t="s">
        <v>454</v>
      </c>
      <c r="DN1" s="195" t="s">
        <v>455</v>
      </c>
      <c r="DO1" s="195" t="s">
        <v>456</v>
      </c>
      <c r="DP1" s="195" t="s">
        <v>457</v>
      </c>
      <c r="DQ1" s="195" t="s">
        <v>458</v>
      </c>
      <c r="DR1" s="195" t="s">
        <v>459</v>
      </c>
      <c r="DS1" s="195" t="s">
        <v>460</v>
      </c>
      <c r="DT1" s="195" t="s">
        <v>461</v>
      </c>
      <c r="DU1" s="195" t="s">
        <v>462</v>
      </c>
      <c r="DV1" s="195" t="s">
        <v>463</v>
      </c>
      <c r="DW1" s="195" t="s">
        <v>464</v>
      </c>
      <c r="DX1" s="195" t="s">
        <v>465</v>
      </c>
      <c r="DY1" s="195" t="s">
        <v>466</v>
      </c>
      <c r="DZ1" s="195" t="s">
        <v>467</v>
      </c>
      <c r="EA1" s="195" t="s">
        <v>468</v>
      </c>
      <c r="EB1" s="195" t="s">
        <v>469</v>
      </c>
      <c r="EC1" s="195" t="s">
        <v>470</v>
      </c>
      <c r="ED1" s="195" t="s">
        <v>471</v>
      </c>
      <c r="EE1" s="195" t="s">
        <v>472</v>
      </c>
      <c r="EF1" s="195" t="s">
        <v>473</v>
      </c>
      <c r="EG1" s="195" t="s">
        <v>474</v>
      </c>
      <c r="EH1" s="195" t="s">
        <v>475</v>
      </c>
      <c r="EI1" s="195" t="s">
        <v>476</v>
      </c>
      <c r="EJ1" s="195" t="s">
        <v>477</v>
      </c>
      <c r="EK1" s="195" t="s">
        <v>478</v>
      </c>
      <c r="EL1" s="195" t="s">
        <v>479</v>
      </c>
      <c r="EM1" s="195" t="s">
        <v>480</v>
      </c>
      <c r="EN1" s="195" t="s">
        <v>481</v>
      </c>
      <c r="EO1" s="195" t="s">
        <v>482</v>
      </c>
      <c r="EP1" s="195" t="s">
        <v>483</v>
      </c>
      <c r="EQ1" s="195" t="s">
        <v>484</v>
      </c>
      <c r="ER1" s="195" t="s">
        <v>485</v>
      </c>
      <c r="ES1" s="195" t="s">
        <v>486</v>
      </c>
      <c r="ET1" s="195" t="s">
        <v>487</v>
      </c>
      <c r="EU1" s="195" t="s">
        <v>488</v>
      </c>
      <c r="EV1" s="195" t="s">
        <v>489</v>
      </c>
      <c r="EW1" s="195" t="s">
        <v>490</v>
      </c>
      <c r="EX1" s="195" t="s">
        <v>491</v>
      </c>
      <c r="EY1" s="195" t="s">
        <v>492</v>
      </c>
      <c r="EZ1" s="195" t="s">
        <v>493</v>
      </c>
      <c r="FA1" s="195" t="s">
        <v>494</v>
      </c>
      <c r="FB1" s="195" t="s">
        <v>495</v>
      </c>
      <c r="FC1" s="195" t="s">
        <v>496</v>
      </c>
      <c r="FD1" s="195" t="s">
        <v>497</v>
      </c>
      <c r="FE1" s="195" t="s">
        <v>498</v>
      </c>
      <c r="FF1" s="195" t="s">
        <v>499</v>
      </c>
      <c r="FG1" s="195" t="s">
        <v>500</v>
      </c>
      <c r="FH1" s="195" t="s">
        <v>501</v>
      </c>
      <c r="FI1" s="195" t="s">
        <v>502</v>
      </c>
      <c r="FJ1" s="195" t="s">
        <v>503</v>
      </c>
    </row>
    <row r="2" spans="1:166">
      <c r="A2" s="195" t="s">
        <v>504</v>
      </c>
      <c r="B2" s="195" t="s">
        <v>505</v>
      </c>
      <c r="C2" s="195" t="s">
        <v>506</v>
      </c>
      <c r="D2" s="195" t="s">
        <v>507</v>
      </c>
      <c r="E2" s="195" t="s">
        <v>342</v>
      </c>
      <c r="F2" s="195" t="s">
        <v>343</v>
      </c>
      <c r="G2" s="195" t="s">
        <v>344</v>
      </c>
      <c r="H2" s="195" t="s">
        <v>508</v>
      </c>
      <c r="I2" s="195" t="s">
        <v>509</v>
      </c>
      <c r="J2" s="195" t="s">
        <v>510</v>
      </c>
      <c r="K2" s="195" t="s">
        <v>511</v>
      </c>
      <c r="L2" s="195" t="s">
        <v>512</v>
      </c>
      <c r="M2" s="195" t="s">
        <v>513</v>
      </c>
      <c r="N2" s="195" t="s">
        <v>514</v>
      </c>
      <c r="O2" s="195" t="s">
        <v>515</v>
      </c>
      <c r="P2" s="195" t="s">
        <v>516</v>
      </c>
      <c r="Q2" s="195" t="s">
        <v>517</v>
      </c>
      <c r="R2" s="195" t="s">
        <v>518</v>
      </c>
      <c r="S2" s="195" t="s">
        <v>519</v>
      </c>
      <c r="T2" s="195" t="s">
        <v>520</v>
      </c>
      <c r="U2" s="195" t="s">
        <v>521</v>
      </c>
      <c r="V2" s="195" t="s">
        <v>522</v>
      </c>
      <c r="W2" s="195" t="s">
        <v>523</v>
      </c>
      <c r="X2" s="195" t="s">
        <v>524</v>
      </c>
      <c r="Y2" s="195" t="s">
        <v>525</v>
      </c>
      <c r="Z2" s="195" t="s">
        <v>526</v>
      </c>
      <c r="AA2" s="195" t="s">
        <v>527</v>
      </c>
      <c r="AB2" s="195" t="s">
        <v>528</v>
      </c>
      <c r="AC2" s="195" t="s">
        <v>529</v>
      </c>
      <c r="AD2" s="195" t="s">
        <v>530</v>
      </c>
      <c r="AE2" s="195" t="s">
        <v>531</v>
      </c>
      <c r="AF2" s="195" t="s">
        <v>532</v>
      </c>
      <c r="AG2" s="195" t="s">
        <v>533</v>
      </c>
      <c r="AH2" s="195" t="s">
        <v>534</v>
      </c>
      <c r="AI2" s="195" t="s">
        <v>535</v>
      </c>
      <c r="AJ2" s="195" t="s">
        <v>536</v>
      </c>
      <c r="AK2" s="195" t="s">
        <v>537</v>
      </c>
      <c r="AL2" s="195" t="s">
        <v>538</v>
      </c>
      <c r="AM2" s="195" t="s">
        <v>539</v>
      </c>
      <c r="AN2" s="195" t="s">
        <v>540</v>
      </c>
      <c r="AO2" s="195" t="s">
        <v>541</v>
      </c>
      <c r="AP2" s="195" t="s">
        <v>542</v>
      </c>
      <c r="AQ2" s="195" t="s">
        <v>543</v>
      </c>
      <c r="AR2" s="195" t="s">
        <v>544</v>
      </c>
      <c r="AS2" s="195" t="s">
        <v>545</v>
      </c>
      <c r="AT2" s="195" t="s">
        <v>546</v>
      </c>
      <c r="AU2" s="195" t="s">
        <v>547</v>
      </c>
      <c r="AV2" s="195" t="s">
        <v>548</v>
      </c>
      <c r="AW2" s="195" t="s">
        <v>549</v>
      </c>
      <c r="AX2" s="195" t="s">
        <v>550</v>
      </c>
      <c r="AY2" s="195" t="s">
        <v>551</v>
      </c>
      <c r="AZ2" s="195" t="s">
        <v>552</v>
      </c>
      <c r="BA2" s="195" t="s">
        <v>553</v>
      </c>
      <c r="BB2" s="195" t="s">
        <v>554</v>
      </c>
      <c r="BC2" s="195" t="s">
        <v>555</v>
      </c>
      <c r="BD2" s="195" t="s">
        <v>556</v>
      </c>
      <c r="BE2" s="195" t="s">
        <v>557</v>
      </c>
      <c r="BF2" s="195" t="s">
        <v>543</v>
      </c>
      <c r="BG2" s="195" t="s">
        <v>558</v>
      </c>
      <c r="BH2" s="195" t="s">
        <v>559</v>
      </c>
      <c r="BI2" s="195" t="s">
        <v>560</v>
      </c>
      <c r="BJ2" s="195" t="s">
        <v>561</v>
      </c>
      <c r="BK2" s="195" t="s">
        <v>562</v>
      </c>
      <c r="BL2" s="195" t="s">
        <v>563</v>
      </c>
      <c r="BM2" s="195" t="s">
        <v>564</v>
      </c>
      <c r="BN2" s="195" t="s">
        <v>565</v>
      </c>
      <c r="BO2" s="195" t="s">
        <v>566</v>
      </c>
      <c r="BP2" s="195" t="s">
        <v>567</v>
      </c>
      <c r="BQ2" s="195" t="s">
        <v>568</v>
      </c>
      <c r="BR2" s="195" t="s">
        <v>569</v>
      </c>
      <c r="BS2" s="195" t="s">
        <v>570</v>
      </c>
      <c r="BT2" s="195" t="s">
        <v>571</v>
      </c>
      <c r="BU2" s="195" t="s">
        <v>543</v>
      </c>
      <c r="BV2" s="195" t="s">
        <v>572</v>
      </c>
      <c r="BW2" s="195" t="s">
        <v>573</v>
      </c>
      <c r="BX2" s="195" t="s">
        <v>574</v>
      </c>
      <c r="BY2" s="195" t="s">
        <v>575</v>
      </c>
      <c r="BZ2" s="195" t="s">
        <v>576</v>
      </c>
      <c r="CA2" s="195" t="s">
        <v>577</v>
      </c>
      <c r="CB2" s="195" t="s">
        <v>578</v>
      </c>
      <c r="CC2" s="195" t="s">
        <v>579</v>
      </c>
      <c r="CD2" s="195" t="s">
        <v>580</v>
      </c>
      <c r="CE2" s="195" t="s">
        <v>581</v>
      </c>
      <c r="CF2" s="195" t="s">
        <v>582</v>
      </c>
      <c r="CG2" s="195" t="s">
        <v>583</v>
      </c>
      <c r="CH2" s="195" t="s">
        <v>584</v>
      </c>
      <c r="CI2" s="195" t="s">
        <v>585</v>
      </c>
      <c r="CJ2" s="195" t="s">
        <v>543</v>
      </c>
      <c r="CK2" s="195" t="s">
        <v>586</v>
      </c>
      <c r="CL2" s="195" t="s">
        <v>587</v>
      </c>
      <c r="CM2" s="195" t="s">
        <v>588</v>
      </c>
      <c r="CN2" s="195" t="s">
        <v>589</v>
      </c>
      <c r="CO2" s="195" t="s">
        <v>590</v>
      </c>
      <c r="CP2" s="195" t="s">
        <v>591</v>
      </c>
      <c r="CQ2" s="195" t="s">
        <v>592</v>
      </c>
      <c r="CR2" s="195" t="s">
        <v>593</v>
      </c>
      <c r="CS2" s="195" t="s">
        <v>594</v>
      </c>
      <c r="CT2" s="195" t="s">
        <v>595</v>
      </c>
      <c r="CU2" s="195" t="s">
        <v>596</v>
      </c>
      <c r="CV2" s="195" t="s">
        <v>597</v>
      </c>
      <c r="CW2" s="195" t="s">
        <v>598</v>
      </c>
      <c r="CX2" s="195" t="s">
        <v>599</v>
      </c>
      <c r="CY2" s="195" t="s">
        <v>543</v>
      </c>
      <c r="CZ2" s="195" t="s">
        <v>600</v>
      </c>
      <c r="DA2" s="195" t="s">
        <v>601</v>
      </c>
      <c r="DB2" s="195" t="s">
        <v>602</v>
      </c>
      <c r="DC2" s="195" t="s">
        <v>603</v>
      </c>
      <c r="DD2" s="195" t="s">
        <v>604</v>
      </c>
      <c r="DE2" s="195" t="s">
        <v>605</v>
      </c>
      <c r="DF2" s="195" t="s">
        <v>606</v>
      </c>
      <c r="DG2" s="195" t="s">
        <v>607</v>
      </c>
      <c r="DH2" s="195" t="s">
        <v>608</v>
      </c>
      <c r="DI2" s="195" t="s">
        <v>609</v>
      </c>
      <c r="DJ2" s="195" t="s">
        <v>610</v>
      </c>
      <c r="DK2" s="195" t="s">
        <v>611</v>
      </c>
      <c r="DL2" s="195" t="s">
        <v>612</v>
      </c>
      <c r="DM2" s="195" t="s">
        <v>613</v>
      </c>
      <c r="DN2" s="195" t="s">
        <v>543</v>
      </c>
      <c r="DO2" s="195" t="s">
        <v>614</v>
      </c>
      <c r="DP2" s="195" t="s">
        <v>615</v>
      </c>
      <c r="DQ2" s="195" t="s">
        <v>616</v>
      </c>
      <c r="DR2" s="195" t="s">
        <v>617</v>
      </c>
      <c r="DS2" s="195" t="s">
        <v>618</v>
      </c>
      <c r="DT2" s="195" t="s">
        <v>619</v>
      </c>
      <c r="DU2" s="195" t="s">
        <v>620</v>
      </c>
      <c r="DV2" s="195" t="s">
        <v>621</v>
      </c>
      <c r="DW2" s="195" t="s">
        <v>622</v>
      </c>
      <c r="DX2" s="195" t="s">
        <v>623</v>
      </c>
      <c r="DY2" s="195" t="s">
        <v>624</v>
      </c>
      <c r="DZ2" s="195" t="s">
        <v>625</v>
      </c>
      <c r="EA2" s="195" t="s">
        <v>626</v>
      </c>
      <c r="EB2" s="195" t="s">
        <v>627</v>
      </c>
      <c r="EC2" s="195" t="s">
        <v>543</v>
      </c>
      <c r="ED2" s="195" t="s">
        <v>628</v>
      </c>
      <c r="EE2" s="195" t="s">
        <v>629</v>
      </c>
      <c r="EF2" s="195" t="s">
        <v>630</v>
      </c>
      <c r="EG2" s="195" t="s">
        <v>631</v>
      </c>
      <c r="EH2" s="195" t="s">
        <v>632</v>
      </c>
      <c r="EI2" s="195" t="s">
        <v>633</v>
      </c>
      <c r="EJ2" s="195" t="s">
        <v>634</v>
      </c>
      <c r="EK2" s="195" t="s">
        <v>635</v>
      </c>
      <c r="EL2" s="195" t="s">
        <v>636</v>
      </c>
      <c r="EM2" s="195" t="s">
        <v>637</v>
      </c>
      <c r="EN2" s="195" t="s">
        <v>638</v>
      </c>
      <c r="EO2" s="195" t="s">
        <v>639</v>
      </c>
      <c r="EP2" s="195" t="s">
        <v>640</v>
      </c>
      <c r="EQ2" s="195" t="s">
        <v>641</v>
      </c>
      <c r="ER2" s="195" t="s">
        <v>543</v>
      </c>
      <c r="ES2" s="195" t="s">
        <v>642</v>
      </c>
      <c r="ET2" s="195" t="s">
        <v>643</v>
      </c>
      <c r="EU2" s="195" t="s">
        <v>644</v>
      </c>
      <c r="EV2" s="195" t="s">
        <v>645</v>
      </c>
      <c r="EW2" s="195" t="s">
        <v>646</v>
      </c>
      <c r="EX2" s="195" t="s">
        <v>647</v>
      </c>
      <c r="EY2" s="195" t="s">
        <v>648</v>
      </c>
      <c r="EZ2" s="195" t="s">
        <v>649</v>
      </c>
      <c r="FA2" s="195" t="s">
        <v>650</v>
      </c>
      <c r="FB2" s="195" t="s">
        <v>651</v>
      </c>
      <c r="FC2" s="195" t="s">
        <v>652</v>
      </c>
      <c r="FD2" s="195" t="s">
        <v>653</v>
      </c>
      <c r="FE2" s="195" t="s">
        <v>654</v>
      </c>
      <c r="FF2" s="195" t="s">
        <v>655</v>
      </c>
      <c r="FG2" s="195" t="s">
        <v>543</v>
      </c>
      <c r="FH2" s="195" t="s">
        <v>656</v>
      </c>
      <c r="FI2" s="195" t="s">
        <v>502</v>
      </c>
      <c r="FJ2" s="195" t="s">
        <v>503</v>
      </c>
    </row>
    <row r="3" spans="1:166" ht="270">
      <c r="A3" s="196">
        <v>46120.088634259257</v>
      </c>
      <c r="B3" s="196">
        <v>46120.128622685188</v>
      </c>
      <c r="C3" s="192" t="s">
        <v>507</v>
      </c>
      <c r="D3" s="192" t="s">
        <v>657</v>
      </c>
      <c r="E3">
        <v>100</v>
      </c>
      <c r="F3">
        <v>3455</v>
      </c>
      <c r="G3" s="192" t="s">
        <v>658</v>
      </c>
      <c r="H3" s="196">
        <v>46120.12863175926</v>
      </c>
      <c r="I3" s="192" t="s">
        <v>659</v>
      </c>
      <c r="J3" s="192" t="s">
        <v>660</v>
      </c>
      <c r="K3" s="192" t="s">
        <v>660</v>
      </c>
      <c r="L3" s="192" t="s">
        <v>660</v>
      </c>
      <c r="M3" s="192" t="s">
        <v>660</v>
      </c>
      <c r="N3">
        <v>-37.815899999999999</v>
      </c>
      <c r="O3">
        <v>144.96690000000001</v>
      </c>
      <c r="P3" s="192" t="s">
        <v>661</v>
      </c>
      <c r="Q3" s="192" t="s">
        <v>662</v>
      </c>
      <c r="R3" s="192" t="s">
        <v>14</v>
      </c>
      <c r="S3" s="192" t="s">
        <v>663</v>
      </c>
      <c r="T3" s="192" t="s">
        <v>302</v>
      </c>
      <c r="U3" s="192" t="s">
        <v>660</v>
      </c>
      <c r="V3" s="192" t="s">
        <v>660</v>
      </c>
      <c r="W3" s="192" t="s">
        <v>660</v>
      </c>
      <c r="X3" s="192" t="s">
        <v>660</v>
      </c>
      <c r="Y3" s="192" t="s">
        <v>660</v>
      </c>
      <c r="Z3" s="192" t="s">
        <v>300</v>
      </c>
      <c r="AA3" s="192" t="s">
        <v>660</v>
      </c>
      <c r="AB3" s="192" t="s">
        <v>660</v>
      </c>
      <c r="AC3" s="192" t="s">
        <v>138</v>
      </c>
      <c r="AD3" s="192" t="s">
        <v>660</v>
      </c>
      <c r="AE3" s="192" t="s">
        <v>664</v>
      </c>
      <c r="AF3" s="192" t="s">
        <v>265</v>
      </c>
      <c r="AG3" s="192" t="s">
        <v>660</v>
      </c>
      <c r="AH3" s="192" t="s">
        <v>665</v>
      </c>
      <c r="AI3" s="192" t="s">
        <v>666</v>
      </c>
      <c r="AJ3" s="192" t="s">
        <v>667</v>
      </c>
      <c r="AK3" s="192" t="s">
        <v>668</v>
      </c>
      <c r="AL3" s="192" t="s">
        <v>303</v>
      </c>
      <c r="AM3" s="192" t="s">
        <v>669</v>
      </c>
      <c r="AN3" s="192" t="s">
        <v>668</v>
      </c>
      <c r="AO3" s="192" t="s">
        <v>668</v>
      </c>
      <c r="AP3" s="192" t="s">
        <v>660</v>
      </c>
      <c r="AQ3" s="192" t="s">
        <v>668</v>
      </c>
      <c r="AR3" s="192" t="s">
        <v>660</v>
      </c>
      <c r="AS3" s="192" t="s">
        <v>660</v>
      </c>
      <c r="AT3" s="192" t="s">
        <v>660</v>
      </c>
      <c r="AU3" s="192" t="s">
        <v>660</v>
      </c>
      <c r="AV3" s="192" t="s">
        <v>660</v>
      </c>
      <c r="AW3" s="192" t="s">
        <v>660</v>
      </c>
      <c r="AX3" s="192" t="s">
        <v>660</v>
      </c>
      <c r="AY3" s="192" t="s">
        <v>660</v>
      </c>
      <c r="AZ3" s="192" t="s">
        <v>660</v>
      </c>
      <c r="BA3" s="192" t="s">
        <v>660</v>
      </c>
      <c r="BB3" s="192" t="s">
        <v>660</v>
      </c>
      <c r="BC3" s="192" t="s">
        <v>660</v>
      </c>
      <c r="BD3" s="192" t="s">
        <v>660</v>
      </c>
      <c r="BE3" s="192" t="s">
        <v>660</v>
      </c>
      <c r="BF3" s="192" t="s">
        <v>660</v>
      </c>
      <c r="BG3" s="192" t="s">
        <v>660</v>
      </c>
      <c r="BH3" s="192" t="s">
        <v>660</v>
      </c>
      <c r="BI3" s="192" t="s">
        <v>660</v>
      </c>
      <c r="BJ3" s="192" t="s">
        <v>660</v>
      </c>
      <c r="BK3" s="192" t="s">
        <v>660</v>
      </c>
      <c r="BL3" s="192" t="s">
        <v>660</v>
      </c>
      <c r="BM3" s="192" t="s">
        <v>660</v>
      </c>
      <c r="BN3" s="192" t="s">
        <v>660</v>
      </c>
      <c r="BO3" s="192" t="s">
        <v>660</v>
      </c>
      <c r="BP3" s="192" t="s">
        <v>660</v>
      </c>
      <c r="BQ3" s="192" t="s">
        <v>660</v>
      </c>
      <c r="BR3" s="192" t="s">
        <v>660</v>
      </c>
      <c r="BS3" s="192" t="s">
        <v>660</v>
      </c>
      <c r="BT3" s="192" t="s">
        <v>660</v>
      </c>
      <c r="BU3" s="192" t="s">
        <v>660</v>
      </c>
      <c r="BV3" s="192" t="s">
        <v>660</v>
      </c>
      <c r="BW3" s="192" t="s">
        <v>660</v>
      </c>
      <c r="BX3" s="192" t="s">
        <v>660</v>
      </c>
      <c r="BY3" s="192" t="s">
        <v>660</v>
      </c>
      <c r="BZ3" s="192" t="s">
        <v>660</v>
      </c>
      <c r="CA3" s="192" t="s">
        <v>660</v>
      </c>
      <c r="CB3" s="192" t="s">
        <v>660</v>
      </c>
      <c r="CC3" s="192" t="s">
        <v>660</v>
      </c>
      <c r="CD3" s="192" t="s">
        <v>660</v>
      </c>
      <c r="CE3" s="192" t="s">
        <v>660</v>
      </c>
      <c r="CF3" s="192" t="s">
        <v>660</v>
      </c>
      <c r="CG3" s="192" t="s">
        <v>660</v>
      </c>
      <c r="CH3" s="192" t="s">
        <v>660</v>
      </c>
      <c r="CI3" s="192" t="s">
        <v>660</v>
      </c>
      <c r="CJ3" s="192" t="s">
        <v>660</v>
      </c>
      <c r="CK3" s="192" t="s">
        <v>660</v>
      </c>
      <c r="CL3" s="192" t="s">
        <v>660</v>
      </c>
      <c r="CM3" s="192" t="s">
        <v>660</v>
      </c>
      <c r="CN3" s="192" t="s">
        <v>660</v>
      </c>
      <c r="CO3" s="192" t="s">
        <v>660</v>
      </c>
      <c r="CP3" s="192" t="s">
        <v>660</v>
      </c>
      <c r="CQ3" s="192" t="s">
        <v>660</v>
      </c>
      <c r="CR3" s="192" t="s">
        <v>660</v>
      </c>
      <c r="CS3" s="192" t="s">
        <v>660</v>
      </c>
      <c r="CT3" s="192" t="s">
        <v>660</v>
      </c>
      <c r="CU3" s="192" t="s">
        <v>660</v>
      </c>
      <c r="CV3" s="192" t="s">
        <v>660</v>
      </c>
      <c r="CW3" s="192" t="s">
        <v>660</v>
      </c>
      <c r="CX3" s="192" t="s">
        <v>660</v>
      </c>
      <c r="CY3" s="192" t="s">
        <v>660</v>
      </c>
      <c r="CZ3" s="192" t="s">
        <v>660</v>
      </c>
      <c r="DA3" s="192" t="s">
        <v>660</v>
      </c>
      <c r="DB3" s="192" t="s">
        <v>660</v>
      </c>
      <c r="DC3" s="192" t="s">
        <v>660</v>
      </c>
      <c r="DD3" s="192" t="s">
        <v>660</v>
      </c>
      <c r="DE3" s="192" t="s">
        <v>660</v>
      </c>
      <c r="DF3" s="192" t="s">
        <v>660</v>
      </c>
      <c r="DG3" s="192" t="s">
        <v>660</v>
      </c>
      <c r="DH3" s="192" t="s">
        <v>660</v>
      </c>
      <c r="DI3" s="192" t="s">
        <v>660</v>
      </c>
      <c r="DJ3" s="192" t="s">
        <v>660</v>
      </c>
      <c r="DK3" s="192" t="s">
        <v>660</v>
      </c>
      <c r="DL3" s="192" t="s">
        <v>660</v>
      </c>
      <c r="DM3" s="192" t="s">
        <v>660</v>
      </c>
      <c r="DN3" s="192" t="s">
        <v>660</v>
      </c>
      <c r="DO3" s="192" t="s">
        <v>138</v>
      </c>
      <c r="DP3" s="192" t="s">
        <v>660</v>
      </c>
      <c r="DQ3" s="192" t="s">
        <v>664</v>
      </c>
      <c r="DR3" s="192" t="s">
        <v>265</v>
      </c>
      <c r="DS3" s="192" t="s">
        <v>660</v>
      </c>
      <c r="DT3" s="192" t="s">
        <v>670</v>
      </c>
      <c r="DU3" s="192" t="s">
        <v>671</v>
      </c>
      <c r="DV3" s="192" t="s">
        <v>672</v>
      </c>
      <c r="DW3" s="192" t="s">
        <v>668</v>
      </c>
      <c r="DX3" s="192" t="s">
        <v>301</v>
      </c>
      <c r="DY3" s="192" t="s">
        <v>669</v>
      </c>
      <c r="DZ3" s="192" t="s">
        <v>668</v>
      </c>
      <c r="EA3" s="192" t="s">
        <v>668</v>
      </c>
      <c r="EB3" s="192" t="s">
        <v>660</v>
      </c>
      <c r="EC3" s="192" t="s">
        <v>673</v>
      </c>
      <c r="ED3" s="192" t="s">
        <v>660</v>
      </c>
      <c r="EE3" s="192" t="s">
        <v>660</v>
      </c>
      <c r="EF3" s="192" t="s">
        <v>660</v>
      </c>
      <c r="EG3" s="192" t="s">
        <v>660</v>
      </c>
      <c r="EH3" s="192" t="s">
        <v>660</v>
      </c>
      <c r="EI3" s="192" t="s">
        <v>660</v>
      </c>
      <c r="EJ3" s="192" t="s">
        <v>660</v>
      </c>
      <c r="EK3" s="192" t="s">
        <v>660</v>
      </c>
      <c r="EL3" s="192" t="s">
        <v>660</v>
      </c>
      <c r="EM3" s="192" t="s">
        <v>660</v>
      </c>
      <c r="EN3" s="192" t="s">
        <v>660</v>
      </c>
      <c r="EO3" s="192" t="s">
        <v>660</v>
      </c>
      <c r="EP3" s="192" t="s">
        <v>660</v>
      </c>
      <c r="EQ3" s="192" t="s">
        <v>660</v>
      </c>
      <c r="ER3" s="192" t="s">
        <v>660</v>
      </c>
      <c r="ES3" s="192" t="s">
        <v>660</v>
      </c>
      <c r="ET3" s="192" t="s">
        <v>660</v>
      </c>
      <c r="EU3" s="192" t="s">
        <v>660</v>
      </c>
      <c r="EV3" s="192" t="s">
        <v>660</v>
      </c>
      <c r="EW3" s="192" t="s">
        <v>660</v>
      </c>
      <c r="EX3" s="192" t="s">
        <v>660</v>
      </c>
      <c r="EY3" s="192" t="s">
        <v>660</v>
      </c>
      <c r="EZ3" s="192" t="s">
        <v>660</v>
      </c>
      <c r="FA3" s="192" t="s">
        <v>660</v>
      </c>
      <c r="FB3" s="192" t="s">
        <v>660</v>
      </c>
      <c r="FC3" s="192" t="s">
        <v>660</v>
      </c>
      <c r="FD3" s="192" t="s">
        <v>660</v>
      </c>
      <c r="FE3" s="192" t="s">
        <v>660</v>
      </c>
      <c r="FF3" s="192" t="s">
        <v>660</v>
      </c>
      <c r="FG3" s="192" t="s">
        <v>660</v>
      </c>
      <c r="FH3" s="192" t="s">
        <v>660</v>
      </c>
      <c r="FI3" s="192" t="s">
        <v>674</v>
      </c>
      <c r="FJ3" s="192" t="s">
        <v>660</v>
      </c>
    </row>
    <row r="4" spans="1:166" ht="409.5">
      <c r="A4" s="196">
        <v>46120.544629629629</v>
      </c>
      <c r="B4" s="196">
        <v>46120.566064814811</v>
      </c>
      <c r="C4" s="192" t="s">
        <v>507</v>
      </c>
      <c r="D4" s="192" t="s">
        <v>675</v>
      </c>
      <c r="E4">
        <v>100</v>
      </c>
      <c r="F4">
        <v>1852</v>
      </c>
      <c r="G4" s="192" t="s">
        <v>658</v>
      </c>
      <c r="H4" s="196">
        <v>46120.566074317132</v>
      </c>
      <c r="I4" s="192" t="s">
        <v>676</v>
      </c>
      <c r="J4" s="192" t="s">
        <v>660</v>
      </c>
      <c r="K4" s="192" t="s">
        <v>660</v>
      </c>
      <c r="L4" s="192" t="s">
        <v>660</v>
      </c>
      <c r="M4" s="192" t="s">
        <v>660</v>
      </c>
      <c r="N4">
        <v>40.415300000000002</v>
      </c>
      <c r="O4">
        <v>-3.694</v>
      </c>
      <c r="P4" s="192" t="s">
        <v>661</v>
      </c>
      <c r="Q4" s="192" t="s">
        <v>662</v>
      </c>
      <c r="R4" s="192" t="s">
        <v>9</v>
      </c>
      <c r="S4" s="192" t="s">
        <v>677</v>
      </c>
      <c r="T4" s="192" t="s">
        <v>232</v>
      </c>
      <c r="U4" s="192" t="s">
        <v>221</v>
      </c>
      <c r="V4" s="192" t="s">
        <v>660</v>
      </c>
      <c r="W4" s="192" t="s">
        <v>240</v>
      </c>
      <c r="X4" s="192" t="s">
        <v>237</v>
      </c>
      <c r="Y4" s="192" t="s">
        <v>221</v>
      </c>
      <c r="Z4" s="192" t="s">
        <v>224</v>
      </c>
      <c r="AA4" s="192" t="s">
        <v>228</v>
      </c>
      <c r="AB4" s="192" t="s">
        <v>221</v>
      </c>
      <c r="AC4" s="192" t="s">
        <v>153</v>
      </c>
      <c r="AD4" s="192" t="s">
        <v>678</v>
      </c>
      <c r="AE4" s="192" t="s">
        <v>679</v>
      </c>
      <c r="AF4" s="192" t="s">
        <v>680</v>
      </c>
      <c r="AG4" s="192" t="s">
        <v>681</v>
      </c>
      <c r="AH4" s="192" t="s">
        <v>234</v>
      </c>
      <c r="AI4" s="192" t="s">
        <v>682</v>
      </c>
      <c r="AJ4" s="192" t="s">
        <v>683</v>
      </c>
      <c r="AK4" s="192" t="s">
        <v>668</v>
      </c>
      <c r="AL4" s="192" t="s">
        <v>684</v>
      </c>
      <c r="AM4" s="192" t="s">
        <v>685</v>
      </c>
      <c r="AN4" s="192" t="s">
        <v>668</v>
      </c>
      <c r="AO4" s="192" t="s">
        <v>668</v>
      </c>
      <c r="AP4" s="192" t="s">
        <v>673</v>
      </c>
      <c r="AQ4" s="192" t="s">
        <v>668</v>
      </c>
      <c r="AR4" s="192" t="s">
        <v>49</v>
      </c>
      <c r="AS4" s="192" t="s">
        <v>660</v>
      </c>
      <c r="AT4" s="192" t="s">
        <v>686</v>
      </c>
      <c r="AU4" s="192" t="s">
        <v>231</v>
      </c>
      <c r="AV4" s="192" t="s">
        <v>660</v>
      </c>
      <c r="AW4" s="192" t="s">
        <v>222</v>
      </c>
      <c r="AX4" s="192" t="s">
        <v>687</v>
      </c>
      <c r="AY4" s="192" t="s">
        <v>688</v>
      </c>
      <c r="AZ4" s="192" t="s">
        <v>668</v>
      </c>
      <c r="BA4" s="192" t="s">
        <v>684</v>
      </c>
      <c r="BB4" s="192" t="s">
        <v>685</v>
      </c>
      <c r="BC4" s="192" t="s">
        <v>673</v>
      </c>
      <c r="BD4" s="192" t="s">
        <v>673</v>
      </c>
      <c r="BE4" s="192" t="s">
        <v>673</v>
      </c>
      <c r="BF4" s="192" t="s">
        <v>673</v>
      </c>
      <c r="BG4" s="192" t="s">
        <v>660</v>
      </c>
      <c r="BH4" s="192" t="s">
        <v>660</v>
      </c>
      <c r="BI4" s="192" t="s">
        <v>660</v>
      </c>
      <c r="BJ4" s="192" t="s">
        <v>660</v>
      </c>
      <c r="BK4" s="192" t="s">
        <v>660</v>
      </c>
      <c r="BL4" s="192" t="s">
        <v>660</v>
      </c>
      <c r="BM4" s="192" t="s">
        <v>660</v>
      </c>
      <c r="BN4" s="192" t="s">
        <v>660</v>
      </c>
      <c r="BO4" s="192" t="s">
        <v>660</v>
      </c>
      <c r="BP4" s="192" t="s">
        <v>660</v>
      </c>
      <c r="BQ4" s="192" t="s">
        <v>660</v>
      </c>
      <c r="BR4" s="192" t="s">
        <v>660</v>
      </c>
      <c r="BS4" s="192" t="s">
        <v>660</v>
      </c>
      <c r="BT4" s="192" t="s">
        <v>660</v>
      </c>
      <c r="BU4" s="192" t="s">
        <v>660</v>
      </c>
      <c r="BV4" s="192" t="s">
        <v>153</v>
      </c>
      <c r="BW4" s="192" t="s">
        <v>689</v>
      </c>
      <c r="BX4" s="192" t="s">
        <v>690</v>
      </c>
      <c r="BY4" s="192" t="s">
        <v>680</v>
      </c>
      <c r="BZ4" s="192" t="s">
        <v>691</v>
      </c>
      <c r="CA4" s="192" t="s">
        <v>242</v>
      </c>
      <c r="CB4" s="192" t="s">
        <v>692</v>
      </c>
      <c r="CC4" s="192" t="s">
        <v>683</v>
      </c>
      <c r="CD4" s="192" t="s">
        <v>668</v>
      </c>
      <c r="CE4" s="192" t="s">
        <v>684</v>
      </c>
      <c r="CF4" s="192" t="s">
        <v>685</v>
      </c>
      <c r="CG4" s="192" t="s">
        <v>668</v>
      </c>
      <c r="CH4" s="192" t="s">
        <v>668</v>
      </c>
      <c r="CI4" s="192" t="s">
        <v>673</v>
      </c>
      <c r="CJ4" s="192" t="s">
        <v>668</v>
      </c>
      <c r="CK4" s="192" t="s">
        <v>186</v>
      </c>
      <c r="CL4" s="192" t="s">
        <v>693</v>
      </c>
      <c r="CM4" s="192" t="s">
        <v>694</v>
      </c>
      <c r="CN4" s="192" t="s">
        <v>236</v>
      </c>
      <c r="CO4" s="192" t="s">
        <v>660</v>
      </c>
      <c r="CP4" s="192" t="s">
        <v>239</v>
      </c>
      <c r="CQ4" s="192" t="s">
        <v>695</v>
      </c>
      <c r="CR4" s="192" t="s">
        <v>696</v>
      </c>
      <c r="CS4" s="192" t="s">
        <v>668</v>
      </c>
      <c r="CT4" s="192" t="s">
        <v>684</v>
      </c>
      <c r="CU4" s="192" t="s">
        <v>685</v>
      </c>
      <c r="CV4" s="192" t="s">
        <v>673</v>
      </c>
      <c r="CW4" s="192" t="s">
        <v>673</v>
      </c>
      <c r="CX4" s="192" t="s">
        <v>673</v>
      </c>
      <c r="CY4" s="192" t="s">
        <v>673</v>
      </c>
      <c r="CZ4" s="192" t="s">
        <v>49</v>
      </c>
      <c r="DA4" s="192" t="s">
        <v>660</v>
      </c>
      <c r="DB4" s="192" t="s">
        <v>686</v>
      </c>
      <c r="DC4" s="192" t="s">
        <v>236</v>
      </c>
      <c r="DD4" s="192" t="s">
        <v>660</v>
      </c>
      <c r="DE4" s="192" t="s">
        <v>222</v>
      </c>
      <c r="DF4" s="192" t="s">
        <v>687</v>
      </c>
      <c r="DG4" s="192" t="s">
        <v>688</v>
      </c>
      <c r="DH4" s="192" t="s">
        <v>668</v>
      </c>
      <c r="DI4" s="192" t="s">
        <v>684</v>
      </c>
      <c r="DJ4" s="192" t="s">
        <v>685</v>
      </c>
      <c r="DK4" s="192" t="s">
        <v>673</v>
      </c>
      <c r="DL4" s="192" t="s">
        <v>673</v>
      </c>
      <c r="DM4" s="192" t="s">
        <v>673</v>
      </c>
      <c r="DN4" s="192" t="s">
        <v>673</v>
      </c>
      <c r="DO4" s="192" t="s">
        <v>294</v>
      </c>
      <c r="DP4" s="192" t="s">
        <v>697</v>
      </c>
      <c r="DQ4" s="192" t="s">
        <v>686</v>
      </c>
      <c r="DR4" s="192" t="s">
        <v>680</v>
      </c>
      <c r="DS4" s="192" t="s">
        <v>698</v>
      </c>
      <c r="DT4" s="192" t="s">
        <v>226</v>
      </c>
      <c r="DU4" s="192" t="s">
        <v>699</v>
      </c>
      <c r="DV4" s="192" t="s">
        <v>700</v>
      </c>
      <c r="DW4" s="192" t="s">
        <v>668</v>
      </c>
      <c r="DX4" s="192" t="s">
        <v>684</v>
      </c>
      <c r="DY4" s="192" t="s">
        <v>685</v>
      </c>
      <c r="DZ4" s="192" t="s">
        <v>668</v>
      </c>
      <c r="EA4" s="192" t="s">
        <v>668</v>
      </c>
      <c r="EB4" s="192" t="s">
        <v>673</v>
      </c>
      <c r="EC4" s="192" t="s">
        <v>668</v>
      </c>
      <c r="ED4" s="192" t="s">
        <v>51</v>
      </c>
      <c r="EE4" s="192" t="s">
        <v>660</v>
      </c>
      <c r="EF4" s="192" t="s">
        <v>701</v>
      </c>
      <c r="EG4" s="192" t="s">
        <v>680</v>
      </c>
      <c r="EH4" s="192" t="s">
        <v>702</v>
      </c>
      <c r="EI4" s="192" t="s">
        <v>229</v>
      </c>
      <c r="EJ4" s="192" t="s">
        <v>703</v>
      </c>
      <c r="EK4" s="192" t="s">
        <v>704</v>
      </c>
      <c r="EL4" s="192" t="s">
        <v>668</v>
      </c>
      <c r="EM4" s="192" t="s">
        <v>684</v>
      </c>
      <c r="EN4" s="192" t="s">
        <v>685</v>
      </c>
      <c r="EO4" s="192" t="s">
        <v>673</v>
      </c>
      <c r="EP4" s="192" t="s">
        <v>668</v>
      </c>
      <c r="EQ4" s="192" t="s">
        <v>673</v>
      </c>
      <c r="ER4" s="192" t="s">
        <v>673</v>
      </c>
      <c r="ES4" s="192" t="s">
        <v>49</v>
      </c>
      <c r="ET4" s="192" t="s">
        <v>660</v>
      </c>
      <c r="EU4" s="192" t="s">
        <v>686</v>
      </c>
      <c r="EV4" s="192" t="s">
        <v>183</v>
      </c>
      <c r="EW4" s="192" t="s">
        <v>660</v>
      </c>
      <c r="EX4" s="192" t="s">
        <v>222</v>
      </c>
      <c r="EY4" s="192" t="s">
        <v>687</v>
      </c>
      <c r="EZ4" s="192" t="s">
        <v>688</v>
      </c>
      <c r="FA4" s="192" t="s">
        <v>668</v>
      </c>
      <c r="FB4" s="192" t="s">
        <v>684</v>
      </c>
      <c r="FC4" s="192" t="s">
        <v>685</v>
      </c>
      <c r="FD4" s="192" t="s">
        <v>673</v>
      </c>
      <c r="FE4" s="192" t="s">
        <v>673</v>
      </c>
      <c r="FF4" s="192" t="s">
        <v>673</v>
      </c>
      <c r="FG4" s="192" t="s">
        <v>673</v>
      </c>
      <c r="FH4" s="192" t="s">
        <v>705</v>
      </c>
      <c r="FI4" s="192" t="s">
        <v>674</v>
      </c>
      <c r="FJ4" s="192" t="s">
        <v>660</v>
      </c>
    </row>
    <row r="5" spans="1:166" ht="285">
      <c r="A5" s="196">
        <v>46121.549131944441</v>
      </c>
      <c r="B5" s="196">
        <v>46121.567418981482</v>
      </c>
      <c r="C5" s="192" t="s">
        <v>507</v>
      </c>
      <c r="D5" s="192" t="s">
        <v>706</v>
      </c>
      <c r="E5">
        <v>100</v>
      </c>
      <c r="F5">
        <v>1580</v>
      </c>
      <c r="G5" s="192" t="s">
        <v>658</v>
      </c>
      <c r="H5" s="196">
        <v>46121.567436018522</v>
      </c>
      <c r="I5" s="192" t="s">
        <v>707</v>
      </c>
      <c r="J5" s="192" t="s">
        <v>660</v>
      </c>
      <c r="K5" s="192" t="s">
        <v>660</v>
      </c>
      <c r="L5" s="192" t="s">
        <v>660</v>
      </c>
      <c r="M5" s="192" t="s">
        <v>660</v>
      </c>
      <c r="N5">
        <v>46.991199999999999</v>
      </c>
      <c r="O5">
        <v>8.5212000000000003</v>
      </c>
      <c r="P5" s="192" t="s">
        <v>661</v>
      </c>
      <c r="Q5" s="192" t="s">
        <v>662</v>
      </c>
      <c r="R5" s="192" t="s">
        <v>12</v>
      </c>
      <c r="S5" s="192" t="s">
        <v>708</v>
      </c>
      <c r="T5" s="192" t="s">
        <v>660</v>
      </c>
      <c r="U5" s="192" t="s">
        <v>660</v>
      </c>
      <c r="V5" s="192" t="s">
        <v>660</v>
      </c>
      <c r="W5" s="192" t="s">
        <v>286</v>
      </c>
      <c r="X5" s="192" t="s">
        <v>279</v>
      </c>
      <c r="Y5" s="192" t="s">
        <v>274</v>
      </c>
      <c r="Z5" s="192" t="s">
        <v>279</v>
      </c>
      <c r="AA5" s="192" t="s">
        <v>274</v>
      </c>
      <c r="AB5" s="192" t="s">
        <v>660</v>
      </c>
      <c r="AC5" s="192" t="s">
        <v>660</v>
      </c>
      <c r="AD5" s="192" t="s">
        <v>660</v>
      </c>
      <c r="AE5" s="192" t="s">
        <v>660</v>
      </c>
      <c r="AF5" s="192" t="s">
        <v>660</v>
      </c>
      <c r="AG5" s="192" t="s">
        <v>660</v>
      </c>
      <c r="AH5" s="192" t="s">
        <v>660</v>
      </c>
      <c r="AI5" s="192" t="s">
        <v>660</v>
      </c>
      <c r="AJ5" s="192" t="s">
        <v>660</v>
      </c>
      <c r="AK5" s="192" t="s">
        <v>660</v>
      </c>
      <c r="AL5" s="192" t="s">
        <v>660</v>
      </c>
      <c r="AM5" s="192" t="s">
        <v>660</v>
      </c>
      <c r="AN5" s="192" t="s">
        <v>660</v>
      </c>
      <c r="AO5" s="192" t="s">
        <v>660</v>
      </c>
      <c r="AP5" s="192" t="s">
        <v>660</v>
      </c>
      <c r="AQ5" s="192" t="s">
        <v>660</v>
      </c>
      <c r="AR5" s="192" t="s">
        <v>660</v>
      </c>
      <c r="AS5" s="192" t="s">
        <v>660</v>
      </c>
      <c r="AT5" s="192" t="s">
        <v>660</v>
      </c>
      <c r="AU5" s="192" t="s">
        <v>660</v>
      </c>
      <c r="AV5" s="192" t="s">
        <v>660</v>
      </c>
      <c r="AW5" s="192" t="s">
        <v>660</v>
      </c>
      <c r="AX5" s="192" t="s">
        <v>660</v>
      </c>
      <c r="AY5" s="192" t="s">
        <v>660</v>
      </c>
      <c r="AZ5" s="192" t="s">
        <v>660</v>
      </c>
      <c r="BA5" s="192" t="s">
        <v>660</v>
      </c>
      <c r="BB5" s="192" t="s">
        <v>660</v>
      </c>
      <c r="BC5" s="192" t="s">
        <v>660</v>
      </c>
      <c r="BD5" s="192" t="s">
        <v>660</v>
      </c>
      <c r="BE5" s="192" t="s">
        <v>660</v>
      </c>
      <c r="BF5" s="192" t="s">
        <v>660</v>
      </c>
      <c r="BG5" s="192" t="s">
        <v>660</v>
      </c>
      <c r="BH5" s="192" t="s">
        <v>660</v>
      </c>
      <c r="BI5" s="192" t="s">
        <v>660</v>
      </c>
      <c r="BJ5" s="192" t="s">
        <v>660</v>
      </c>
      <c r="BK5" s="192" t="s">
        <v>660</v>
      </c>
      <c r="BL5" s="192" t="s">
        <v>660</v>
      </c>
      <c r="BM5" s="192" t="s">
        <v>660</v>
      </c>
      <c r="BN5" s="192" t="s">
        <v>660</v>
      </c>
      <c r="BO5" s="192" t="s">
        <v>660</v>
      </c>
      <c r="BP5" s="192" t="s">
        <v>660</v>
      </c>
      <c r="BQ5" s="192" t="s">
        <v>660</v>
      </c>
      <c r="BR5" s="192" t="s">
        <v>660</v>
      </c>
      <c r="BS5" s="192" t="s">
        <v>660</v>
      </c>
      <c r="BT5" s="192" t="s">
        <v>660</v>
      </c>
      <c r="BU5" s="192" t="s">
        <v>660</v>
      </c>
      <c r="BV5" s="192" t="s">
        <v>153</v>
      </c>
      <c r="BW5" s="192" t="s">
        <v>693</v>
      </c>
      <c r="BX5" s="192" t="s">
        <v>701</v>
      </c>
      <c r="BY5" s="192" t="s">
        <v>289</v>
      </c>
      <c r="BZ5" s="192" t="s">
        <v>660</v>
      </c>
      <c r="CA5" s="192" t="s">
        <v>288</v>
      </c>
      <c r="CB5" s="192" t="s">
        <v>709</v>
      </c>
      <c r="CC5" s="192" t="s">
        <v>710</v>
      </c>
      <c r="CD5" s="192" t="s">
        <v>673</v>
      </c>
      <c r="CE5" s="192" t="s">
        <v>711</v>
      </c>
      <c r="CF5" s="192" t="s">
        <v>712</v>
      </c>
      <c r="CG5" s="192" t="s">
        <v>668</v>
      </c>
      <c r="CH5" s="192" t="s">
        <v>668</v>
      </c>
      <c r="CI5" s="192" t="s">
        <v>668</v>
      </c>
      <c r="CJ5" s="192" t="s">
        <v>673</v>
      </c>
      <c r="CK5" s="192" t="s">
        <v>49</v>
      </c>
      <c r="CL5" s="192" t="s">
        <v>660</v>
      </c>
      <c r="CM5" s="192" t="s">
        <v>679</v>
      </c>
      <c r="CN5" s="192" t="s">
        <v>284</v>
      </c>
      <c r="CO5" s="192" t="s">
        <v>660</v>
      </c>
      <c r="CP5" s="192" t="s">
        <v>280</v>
      </c>
      <c r="CQ5" s="192" t="s">
        <v>713</v>
      </c>
      <c r="CR5" s="192" t="s">
        <v>714</v>
      </c>
      <c r="CS5" s="192" t="s">
        <v>673</v>
      </c>
      <c r="CT5" s="192" t="s">
        <v>715</v>
      </c>
      <c r="CU5" s="192" t="s">
        <v>716</v>
      </c>
      <c r="CV5" s="192" t="s">
        <v>673</v>
      </c>
      <c r="CW5" s="192" t="s">
        <v>673</v>
      </c>
      <c r="CX5" s="192" t="s">
        <v>673</v>
      </c>
      <c r="CY5" s="192" t="s">
        <v>668</v>
      </c>
      <c r="CZ5" s="192" t="s">
        <v>717</v>
      </c>
      <c r="DA5" s="192" t="s">
        <v>718</v>
      </c>
      <c r="DB5" s="192" t="s">
        <v>679</v>
      </c>
      <c r="DC5" s="192" t="s">
        <v>277</v>
      </c>
      <c r="DD5" s="192" t="s">
        <v>660</v>
      </c>
      <c r="DE5" s="192" t="s">
        <v>276</v>
      </c>
      <c r="DF5" s="192" t="s">
        <v>719</v>
      </c>
      <c r="DG5" s="192" t="s">
        <v>720</v>
      </c>
      <c r="DH5" s="192" t="s">
        <v>673</v>
      </c>
      <c r="DI5" s="192" t="s">
        <v>721</v>
      </c>
      <c r="DJ5" s="192" t="s">
        <v>722</v>
      </c>
      <c r="DK5" s="192" t="s">
        <v>668</v>
      </c>
      <c r="DL5" s="192" t="s">
        <v>668</v>
      </c>
      <c r="DM5" s="192" t="s">
        <v>668</v>
      </c>
      <c r="DN5" s="192" t="s">
        <v>673</v>
      </c>
      <c r="DO5" s="192" t="s">
        <v>49</v>
      </c>
      <c r="DP5" s="192" t="s">
        <v>660</v>
      </c>
      <c r="DQ5" s="192" t="s">
        <v>679</v>
      </c>
      <c r="DR5" s="192" t="s">
        <v>281</v>
      </c>
      <c r="DS5" s="192" t="s">
        <v>660</v>
      </c>
      <c r="DT5" s="192" t="s">
        <v>280</v>
      </c>
      <c r="DU5" s="192" t="s">
        <v>713</v>
      </c>
      <c r="DV5" s="192" t="s">
        <v>714</v>
      </c>
      <c r="DW5" s="192" t="s">
        <v>673</v>
      </c>
      <c r="DX5" s="192" t="s">
        <v>715</v>
      </c>
      <c r="DY5" s="192" t="s">
        <v>723</v>
      </c>
      <c r="DZ5" s="192" t="s">
        <v>673</v>
      </c>
      <c r="EA5" s="192" t="s">
        <v>673</v>
      </c>
      <c r="EB5" s="192" t="s">
        <v>673</v>
      </c>
      <c r="EC5" s="192" t="s">
        <v>668</v>
      </c>
      <c r="ED5" s="192" t="s">
        <v>717</v>
      </c>
      <c r="EE5" s="192" t="s">
        <v>718</v>
      </c>
      <c r="EF5" s="192" t="s">
        <v>679</v>
      </c>
      <c r="EG5" s="192" t="s">
        <v>277</v>
      </c>
      <c r="EH5" s="192" t="s">
        <v>660</v>
      </c>
      <c r="EI5" s="192" t="s">
        <v>276</v>
      </c>
      <c r="EJ5" s="192" t="s">
        <v>719</v>
      </c>
      <c r="EK5" s="192" t="s">
        <v>720</v>
      </c>
      <c r="EL5" s="192" t="s">
        <v>673</v>
      </c>
      <c r="EM5" s="192" t="s">
        <v>724</v>
      </c>
      <c r="EN5" s="192" t="s">
        <v>725</v>
      </c>
      <c r="EO5" s="192" t="s">
        <v>668</v>
      </c>
      <c r="EP5" s="192" t="s">
        <v>668</v>
      </c>
      <c r="EQ5" s="192" t="s">
        <v>668</v>
      </c>
      <c r="ER5" s="192" t="s">
        <v>673</v>
      </c>
      <c r="ES5" s="192" t="s">
        <v>660</v>
      </c>
      <c r="ET5" s="192" t="s">
        <v>660</v>
      </c>
      <c r="EU5" s="192" t="s">
        <v>660</v>
      </c>
      <c r="EV5" s="192" t="s">
        <v>660</v>
      </c>
      <c r="EW5" s="192" t="s">
        <v>660</v>
      </c>
      <c r="EX5" s="192" t="s">
        <v>660</v>
      </c>
      <c r="EY5" s="192" t="s">
        <v>660</v>
      </c>
      <c r="EZ5" s="192" t="s">
        <v>660</v>
      </c>
      <c r="FA5" s="192" t="s">
        <v>660</v>
      </c>
      <c r="FB5" s="192" t="s">
        <v>660</v>
      </c>
      <c r="FC5" s="192" t="s">
        <v>660</v>
      </c>
      <c r="FD5" s="192" t="s">
        <v>660</v>
      </c>
      <c r="FE5" s="192" t="s">
        <v>660</v>
      </c>
      <c r="FF5" s="192" t="s">
        <v>660</v>
      </c>
      <c r="FG5" s="192" t="s">
        <v>660</v>
      </c>
      <c r="FH5" s="192" t="s">
        <v>660</v>
      </c>
      <c r="FI5" s="192" t="s">
        <v>674</v>
      </c>
      <c r="FJ5" s="192" t="s">
        <v>660</v>
      </c>
    </row>
    <row r="6" spans="1:166" ht="180">
      <c r="A6" s="196">
        <v>46119.710740740738</v>
      </c>
      <c r="B6" s="196">
        <v>46125.475358796299</v>
      </c>
      <c r="C6" s="192" t="s">
        <v>507</v>
      </c>
      <c r="D6" s="192" t="s">
        <v>726</v>
      </c>
      <c r="E6">
        <v>100</v>
      </c>
      <c r="F6">
        <v>498063</v>
      </c>
      <c r="G6" s="192" t="s">
        <v>658</v>
      </c>
      <c r="H6" s="196">
        <v>46125.475374664355</v>
      </c>
      <c r="I6" s="192" t="s">
        <v>727</v>
      </c>
      <c r="J6" s="192" t="s">
        <v>660</v>
      </c>
      <c r="K6" s="192" t="s">
        <v>660</v>
      </c>
      <c r="L6" s="192" t="s">
        <v>660</v>
      </c>
      <c r="M6" s="192" t="s">
        <v>660</v>
      </c>
      <c r="N6">
        <v>45.412999999999997</v>
      </c>
      <c r="O6">
        <v>11.880599999999999</v>
      </c>
      <c r="P6" s="192" t="s">
        <v>661</v>
      </c>
      <c r="Q6" s="192" t="s">
        <v>662</v>
      </c>
      <c r="R6" s="192" t="s">
        <v>6</v>
      </c>
      <c r="S6" s="192" t="s">
        <v>728</v>
      </c>
      <c r="T6" s="192" t="s">
        <v>660</v>
      </c>
      <c r="U6" s="192" t="s">
        <v>660</v>
      </c>
      <c r="V6" s="192" t="s">
        <v>660</v>
      </c>
      <c r="W6" s="192" t="s">
        <v>28</v>
      </c>
      <c r="X6" s="192" t="s">
        <v>189</v>
      </c>
      <c r="Y6" s="192" t="s">
        <v>660</v>
      </c>
      <c r="Z6" s="192" t="s">
        <v>189</v>
      </c>
      <c r="AA6" s="192" t="s">
        <v>660</v>
      </c>
      <c r="AB6" s="192" t="s">
        <v>660</v>
      </c>
      <c r="AC6" s="192" t="s">
        <v>660</v>
      </c>
      <c r="AD6" s="192" t="s">
        <v>660</v>
      </c>
      <c r="AE6" s="192" t="s">
        <v>660</v>
      </c>
      <c r="AF6" s="192" t="s">
        <v>660</v>
      </c>
      <c r="AG6" s="192" t="s">
        <v>660</v>
      </c>
      <c r="AH6" s="192" t="s">
        <v>660</v>
      </c>
      <c r="AI6" s="192" t="s">
        <v>660</v>
      </c>
      <c r="AJ6" s="192" t="s">
        <v>660</v>
      </c>
      <c r="AK6" s="192" t="s">
        <v>660</v>
      </c>
      <c r="AL6" s="192" t="s">
        <v>660</v>
      </c>
      <c r="AM6" s="192" t="s">
        <v>660</v>
      </c>
      <c r="AN6" s="192" t="s">
        <v>660</v>
      </c>
      <c r="AO6" s="192" t="s">
        <v>660</v>
      </c>
      <c r="AP6" s="192" t="s">
        <v>660</v>
      </c>
      <c r="AQ6" s="192" t="s">
        <v>660</v>
      </c>
      <c r="AR6" s="192" t="s">
        <v>660</v>
      </c>
      <c r="AS6" s="192" t="s">
        <v>660</v>
      </c>
      <c r="AT6" s="192" t="s">
        <v>660</v>
      </c>
      <c r="AU6" s="192" t="s">
        <v>660</v>
      </c>
      <c r="AV6" s="192" t="s">
        <v>660</v>
      </c>
      <c r="AW6" s="192" t="s">
        <v>660</v>
      </c>
      <c r="AX6" s="192" t="s">
        <v>660</v>
      </c>
      <c r="AY6" s="192" t="s">
        <v>660</v>
      </c>
      <c r="AZ6" s="192" t="s">
        <v>660</v>
      </c>
      <c r="BA6" s="192" t="s">
        <v>660</v>
      </c>
      <c r="BB6" s="192" t="s">
        <v>660</v>
      </c>
      <c r="BC6" s="192" t="s">
        <v>660</v>
      </c>
      <c r="BD6" s="192" t="s">
        <v>660</v>
      </c>
      <c r="BE6" s="192" t="s">
        <v>660</v>
      </c>
      <c r="BF6" s="192" t="s">
        <v>660</v>
      </c>
      <c r="BG6" s="192" t="s">
        <v>660</v>
      </c>
      <c r="BH6" s="192" t="s">
        <v>660</v>
      </c>
      <c r="BI6" s="192" t="s">
        <v>660</v>
      </c>
      <c r="BJ6" s="192" t="s">
        <v>660</v>
      </c>
      <c r="BK6" s="192" t="s">
        <v>660</v>
      </c>
      <c r="BL6" s="192" t="s">
        <v>660</v>
      </c>
      <c r="BM6" s="192" t="s">
        <v>660</v>
      </c>
      <c r="BN6" s="192" t="s">
        <v>660</v>
      </c>
      <c r="BO6" s="192" t="s">
        <v>660</v>
      </c>
      <c r="BP6" s="192" t="s">
        <v>660</v>
      </c>
      <c r="BQ6" s="192" t="s">
        <v>660</v>
      </c>
      <c r="BR6" s="192" t="s">
        <v>660</v>
      </c>
      <c r="BS6" s="192" t="s">
        <v>660</v>
      </c>
      <c r="BT6" s="192" t="s">
        <v>660</v>
      </c>
      <c r="BU6" s="192" t="s">
        <v>660</v>
      </c>
      <c r="BV6" s="192" t="s">
        <v>141</v>
      </c>
      <c r="BW6" s="192" t="s">
        <v>660</v>
      </c>
      <c r="BX6" s="192" t="s">
        <v>694</v>
      </c>
      <c r="BY6" s="192" t="s">
        <v>193</v>
      </c>
      <c r="BZ6" s="192" t="s">
        <v>660</v>
      </c>
      <c r="CA6" s="192" t="s">
        <v>729</v>
      </c>
      <c r="CB6" s="192" t="s">
        <v>730</v>
      </c>
      <c r="CC6" s="192" t="s">
        <v>688</v>
      </c>
      <c r="CD6" s="192" t="s">
        <v>668</v>
      </c>
      <c r="CE6" s="192" t="s">
        <v>731</v>
      </c>
      <c r="CF6" s="192" t="s">
        <v>732</v>
      </c>
      <c r="CG6" s="192" t="s">
        <v>668</v>
      </c>
      <c r="CH6" s="192" t="s">
        <v>668</v>
      </c>
      <c r="CI6" s="192" t="s">
        <v>668</v>
      </c>
      <c r="CJ6" s="192" t="s">
        <v>668</v>
      </c>
      <c r="CK6" s="192" t="s">
        <v>138</v>
      </c>
      <c r="CL6" s="192" t="s">
        <v>660</v>
      </c>
      <c r="CM6" s="192" t="s">
        <v>733</v>
      </c>
      <c r="CN6" s="192" t="s">
        <v>135</v>
      </c>
      <c r="CO6" s="192" t="s">
        <v>660</v>
      </c>
      <c r="CP6" s="192" t="s">
        <v>729</v>
      </c>
      <c r="CQ6" s="192" t="s">
        <v>730</v>
      </c>
      <c r="CR6" s="192" t="s">
        <v>688</v>
      </c>
      <c r="CS6" s="192" t="s">
        <v>668</v>
      </c>
      <c r="CT6" s="192" t="s">
        <v>731</v>
      </c>
      <c r="CU6" s="192" t="s">
        <v>734</v>
      </c>
      <c r="CV6" s="192" t="s">
        <v>668</v>
      </c>
      <c r="CW6" s="192" t="s">
        <v>668</v>
      </c>
      <c r="CX6" s="192" t="s">
        <v>668</v>
      </c>
      <c r="CY6" s="192" t="s">
        <v>668</v>
      </c>
      <c r="CZ6" s="192" t="s">
        <v>660</v>
      </c>
      <c r="DA6" s="192" t="s">
        <v>660</v>
      </c>
      <c r="DB6" s="192" t="s">
        <v>660</v>
      </c>
      <c r="DC6" s="192" t="s">
        <v>660</v>
      </c>
      <c r="DD6" s="192" t="s">
        <v>660</v>
      </c>
      <c r="DE6" s="192" t="s">
        <v>660</v>
      </c>
      <c r="DF6" s="192" t="s">
        <v>660</v>
      </c>
      <c r="DG6" s="192" t="s">
        <v>660</v>
      </c>
      <c r="DH6" s="192" t="s">
        <v>660</v>
      </c>
      <c r="DI6" s="192" t="s">
        <v>660</v>
      </c>
      <c r="DJ6" s="192" t="s">
        <v>660</v>
      </c>
      <c r="DK6" s="192" t="s">
        <v>660</v>
      </c>
      <c r="DL6" s="192" t="s">
        <v>660</v>
      </c>
      <c r="DM6" s="192" t="s">
        <v>660</v>
      </c>
      <c r="DN6" s="192" t="s">
        <v>660</v>
      </c>
      <c r="DO6" s="192" t="s">
        <v>141</v>
      </c>
      <c r="DP6" s="192" t="s">
        <v>660</v>
      </c>
      <c r="DQ6" s="192" t="s">
        <v>694</v>
      </c>
      <c r="DR6" s="192" t="s">
        <v>190</v>
      </c>
      <c r="DS6" s="192" t="s">
        <v>660</v>
      </c>
      <c r="DT6" s="192" t="s">
        <v>735</v>
      </c>
      <c r="DU6" s="192" t="s">
        <v>730</v>
      </c>
      <c r="DV6" s="192" t="s">
        <v>688</v>
      </c>
      <c r="DW6" s="192" t="s">
        <v>668</v>
      </c>
      <c r="DX6" s="192" t="s">
        <v>736</v>
      </c>
      <c r="DY6" s="192" t="s">
        <v>737</v>
      </c>
      <c r="DZ6" s="192" t="s">
        <v>668</v>
      </c>
      <c r="EA6" s="192" t="s">
        <v>668</v>
      </c>
      <c r="EB6" s="192" t="s">
        <v>668</v>
      </c>
      <c r="EC6" s="192" t="s">
        <v>668</v>
      </c>
      <c r="ED6" s="192" t="s">
        <v>660</v>
      </c>
      <c r="EE6" s="192" t="s">
        <v>660</v>
      </c>
      <c r="EF6" s="192" t="s">
        <v>660</v>
      </c>
      <c r="EG6" s="192" t="s">
        <v>660</v>
      </c>
      <c r="EH6" s="192" t="s">
        <v>660</v>
      </c>
      <c r="EI6" s="192" t="s">
        <v>660</v>
      </c>
      <c r="EJ6" s="192" t="s">
        <v>660</v>
      </c>
      <c r="EK6" s="192" t="s">
        <v>660</v>
      </c>
      <c r="EL6" s="192" t="s">
        <v>660</v>
      </c>
      <c r="EM6" s="192" t="s">
        <v>660</v>
      </c>
      <c r="EN6" s="192" t="s">
        <v>660</v>
      </c>
      <c r="EO6" s="192" t="s">
        <v>660</v>
      </c>
      <c r="EP6" s="192" t="s">
        <v>660</v>
      </c>
      <c r="EQ6" s="192" t="s">
        <v>660</v>
      </c>
      <c r="ER6" s="192" t="s">
        <v>660</v>
      </c>
      <c r="ES6" s="192" t="s">
        <v>660</v>
      </c>
      <c r="ET6" s="192" t="s">
        <v>660</v>
      </c>
      <c r="EU6" s="192" t="s">
        <v>660</v>
      </c>
      <c r="EV6" s="192" t="s">
        <v>660</v>
      </c>
      <c r="EW6" s="192" t="s">
        <v>660</v>
      </c>
      <c r="EX6" s="192" t="s">
        <v>660</v>
      </c>
      <c r="EY6" s="192" t="s">
        <v>660</v>
      </c>
      <c r="EZ6" s="192" t="s">
        <v>660</v>
      </c>
      <c r="FA6" s="192" t="s">
        <v>660</v>
      </c>
      <c r="FB6" s="192" t="s">
        <v>660</v>
      </c>
      <c r="FC6" s="192" t="s">
        <v>660</v>
      </c>
      <c r="FD6" s="192" t="s">
        <v>660</v>
      </c>
      <c r="FE6" s="192" t="s">
        <v>660</v>
      </c>
      <c r="FF6" s="192" t="s">
        <v>660</v>
      </c>
      <c r="FG6" s="192" t="s">
        <v>660</v>
      </c>
      <c r="FH6" s="192" t="s">
        <v>738</v>
      </c>
      <c r="FI6" s="192" t="s">
        <v>674</v>
      </c>
      <c r="FJ6" s="192" t="s">
        <v>660</v>
      </c>
    </row>
    <row r="7" spans="1:166" ht="409.5">
      <c r="A7" s="196">
        <v>46119.707650462966</v>
      </c>
      <c r="B7" s="196">
        <v>46125.511828703704</v>
      </c>
      <c r="C7" s="192" t="s">
        <v>507</v>
      </c>
      <c r="D7" s="192" t="s">
        <v>739</v>
      </c>
      <c r="E7">
        <v>100</v>
      </c>
      <c r="F7">
        <v>501480</v>
      </c>
      <c r="G7" s="192" t="s">
        <v>658</v>
      </c>
      <c r="H7" s="196">
        <v>46125.511842662039</v>
      </c>
      <c r="I7" s="192" t="s">
        <v>740</v>
      </c>
      <c r="J7" s="192" t="s">
        <v>660</v>
      </c>
      <c r="K7" s="192" t="s">
        <v>660</v>
      </c>
      <c r="L7" s="192" t="s">
        <v>660</v>
      </c>
      <c r="M7" s="192" t="s">
        <v>660</v>
      </c>
      <c r="N7">
        <v>51.222200000000001</v>
      </c>
      <c r="O7">
        <v>6.7788000000000004</v>
      </c>
      <c r="P7" s="192" t="s">
        <v>661</v>
      </c>
      <c r="Q7" s="192" t="s">
        <v>662</v>
      </c>
      <c r="R7" s="192" t="s">
        <v>3</v>
      </c>
      <c r="S7" s="192" t="s">
        <v>741</v>
      </c>
      <c r="T7" s="192" t="s">
        <v>137</v>
      </c>
      <c r="U7" s="192" t="s">
        <v>134</v>
      </c>
      <c r="V7" s="192" t="s">
        <v>146</v>
      </c>
      <c r="W7" s="192" t="s">
        <v>137</v>
      </c>
      <c r="X7" s="192" t="s">
        <v>134</v>
      </c>
      <c r="Y7" s="192" t="s">
        <v>146</v>
      </c>
      <c r="Z7" s="192" t="s">
        <v>140</v>
      </c>
      <c r="AA7" s="192" t="s">
        <v>137</v>
      </c>
      <c r="AB7" s="192" t="s">
        <v>134</v>
      </c>
      <c r="AC7" s="192" t="s">
        <v>138</v>
      </c>
      <c r="AD7" s="192" t="s">
        <v>660</v>
      </c>
      <c r="AE7" s="192" t="s">
        <v>686</v>
      </c>
      <c r="AF7" s="192" t="s">
        <v>135</v>
      </c>
      <c r="AG7" s="192" t="s">
        <v>660</v>
      </c>
      <c r="AH7" s="192" t="s">
        <v>144</v>
      </c>
      <c r="AI7" s="192" t="s">
        <v>742</v>
      </c>
      <c r="AJ7" s="192" t="s">
        <v>743</v>
      </c>
      <c r="AK7" s="192" t="s">
        <v>668</v>
      </c>
      <c r="AL7" s="192" t="s">
        <v>744</v>
      </c>
      <c r="AM7" s="192" t="s">
        <v>745</v>
      </c>
      <c r="AN7" s="192" t="s">
        <v>668</v>
      </c>
      <c r="AO7" s="192" t="s">
        <v>668</v>
      </c>
      <c r="AP7" s="192" t="s">
        <v>668</v>
      </c>
      <c r="AQ7" s="192" t="s">
        <v>668</v>
      </c>
      <c r="AR7" s="192" t="s">
        <v>49</v>
      </c>
      <c r="AS7" s="192" t="s">
        <v>660</v>
      </c>
      <c r="AT7" s="192" t="s">
        <v>686</v>
      </c>
      <c r="AU7" s="192" t="s">
        <v>135</v>
      </c>
      <c r="AV7" s="192" t="s">
        <v>660</v>
      </c>
      <c r="AW7" s="192" t="s">
        <v>746</v>
      </c>
      <c r="AX7" s="192" t="s">
        <v>747</v>
      </c>
      <c r="AY7" s="192" t="s">
        <v>714</v>
      </c>
      <c r="AZ7" s="192" t="s">
        <v>668</v>
      </c>
      <c r="BA7" s="192" t="s">
        <v>748</v>
      </c>
      <c r="BB7" s="192" t="s">
        <v>745</v>
      </c>
      <c r="BC7" s="192" t="s">
        <v>673</v>
      </c>
      <c r="BD7" s="192" t="s">
        <v>673</v>
      </c>
      <c r="BE7" s="192" t="s">
        <v>673</v>
      </c>
      <c r="BF7" s="192" t="s">
        <v>668</v>
      </c>
      <c r="BG7" s="192" t="s">
        <v>138</v>
      </c>
      <c r="BH7" s="192" t="s">
        <v>660</v>
      </c>
      <c r="BI7" s="192" t="s">
        <v>749</v>
      </c>
      <c r="BJ7" s="192" t="s">
        <v>147</v>
      </c>
      <c r="BK7" s="192" t="s">
        <v>660</v>
      </c>
      <c r="BL7" s="192" t="s">
        <v>750</v>
      </c>
      <c r="BM7" s="192" t="s">
        <v>751</v>
      </c>
      <c r="BN7" s="192" t="s">
        <v>752</v>
      </c>
      <c r="BO7" s="192" t="s">
        <v>668</v>
      </c>
      <c r="BP7" s="192" t="s">
        <v>753</v>
      </c>
      <c r="BQ7" s="192" t="s">
        <v>753</v>
      </c>
      <c r="BR7" s="192" t="s">
        <v>668</v>
      </c>
      <c r="BS7" s="192" t="s">
        <v>668</v>
      </c>
      <c r="BT7" s="192" t="s">
        <v>668</v>
      </c>
      <c r="BU7" s="192" t="s">
        <v>673</v>
      </c>
      <c r="BV7" s="192" t="s">
        <v>138</v>
      </c>
      <c r="BW7" s="192" t="s">
        <v>660</v>
      </c>
      <c r="BX7" s="192" t="s">
        <v>686</v>
      </c>
      <c r="BY7" s="192" t="s">
        <v>135</v>
      </c>
      <c r="BZ7" s="192" t="s">
        <v>660</v>
      </c>
      <c r="CA7" s="192" t="s">
        <v>754</v>
      </c>
      <c r="CB7" s="192" t="s">
        <v>742</v>
      </c>
      <c r="CC7" s="192" t="s">
        <v>755</v>
      </c>
      <c r="CD7" s="192" t="s">
        <v>673</v>
      </c>
      <c r="CE7" s="192" t="s">
        <v>756</v>
      </c>
      <c r="CF7" s="192" t="s">
        <v>745</v>
      </c>
      <c r="CG7" s="192" t="s">
        <v>668</v>
      </c>
      <c r="CH7" s="192" t="s">
        <v>668</v>
      </c>
      <c r="CI7" s="192" t="s">
        <v>668</v>
      </c>
      <c r="CJ7" s="192" t="s">
        <v>668</v>
      </c>
      <c r="CK7" s="192" t="s">
        <v>49</v>
      </c>
      <c r="CL7" s="192" t="s">
        <v>660</v>
      </c>
      <c r="CM7" s="192" t="s">
        <v>686</v>
      </c>
      <c r="CN7" s="192" t="s">
        <v>135</v>
      </c>
      <c r="CO7" s="192" t="s">
        <v>660</v>
      </c>
      <c r="CP7" s="192" t="s">
        <v>757</v>
      </c>
      <c r="CQ7" s="192" t="s">
        <v>747</v>
      </c>
      <c r="CR7" s="192" t="s">
        <v>714</v>
      </c>
      <c r="CS7" s="192" t="s">
        <v>668</v>
      </c>
      <c r="CT7" s="192" t="s">
        <v>748</v>
      </c>
      <c r="CU7" s="192" t="s">
        <v>745</v>
      </c>
      <c r="CV7" s="192" t="s">
        <v>673</v>
      </c>
      <c r="CW7" s="192" t="s">
        <v>673</v>
      </c>
      <c r="CX7" s="192" t="s">
        <v>673</v>
      </c>
      <c r="CY7" s="192" t="s">
        <v>668</v>
      </c>
      <c r="CZ7" s="192" t="s">
        <v>138</v>
      </c>
      <c r="DA7" s="192" t="s">
        <v>660</v>
      </c>
      <c r="DB7" s="192" t="s">
        <v>749</v>
      </c>
      <c r="DC7" s="192" t="s">
        <v>147</v>
      </c>
      <c r="DD7" s="192" t="s">
        <v>660</v>
      </c>
      <c r="DE7" s="192" t="s">
        <v>750</v>
      </c>
      <c r="DF7" s="192" t="s">
        <v>751</v>
      </c>
      <c r="DG7" s="192" t="s">
        <v>752</v>
      </c>
      <c r="DH7" s="192" t="s">
        <v>668</v>
      </c>
      <c r="DI7" s="192" t="s">
        <v>753</v>
      </c>
      <c r="DJ7" s="192" t="s">
        <v>753</v>
      </c>
      <c r="DK7" s="192" t="s">
        <v>668</v>
      </c>
      <c r="DL7" s="192" t="s">
        <v>668</v>
      </c>
      <c r="DM7" s="192" t="s">
        <v>668</v>
      </c>
      <c r="DN7" s="192" t="s">
        <v>673</v>
      </c>
      <c r="DO7" s="192" t="s">
        <v>141</v>
      </c>
      <c r="DP7" s="192" t="s">
        <v>660</v>
      </c>
      <c r="DQ7" s="192" t="s">
        <v>679</v>
      </c>
      <c r="DR7" s="192" t="s">
        <v>142</v>
      </c>
      <c r="DS7" s="192" t="s">
        <v>660</v>
      </c>
      <c r="DT7" s="192" t="s">
        <v>758</v>
      </c>
      <c r="DU7" s="192" t="s">
        <v>759</v>
      </c>
      <c r="DV7" s="192" t="s">
        <v>760</v>
      </c>
      <c r="DW7" s="192" t="s">
        <v>673</v>
      </c>
      <c r="DX7" s="192" t="s">
        <v>761</v>
      </c>
      <c r="DY7" s="192" t="s">
        <v>762</v>
      </c>
      <c r="DZ7" s="192" t="s">
        <v>668</v>
      </c>
      <c r="EA7" s="192" t="s">
        <v>673</v>
      </c>
      <c r="EB7" s="192" t="s">
        <v>668</v>
      </c>
      <c r="EC7" s="192" t="s">
        <v>668</v>
      </c>
      <c r="ED7" s="192" t="s">
        <v>138</v>
      </c>
      <c r="EE7" s="192" t="s">
        <v>660</v>
      </c>
      <c r="EF7" s="192" t="s">
        <v>686</v>
      </c>
      <c r="EG7" s="192" t="s">
        <v>135</v>
      </c>
      <c r="EH7" s="192" t="s">
        <v>660</v>
      </c>
      <c r="EI7" s="192" t="s">
        <v>754</v>
      </c>
      <c r="EJ7" s="192" t="s">
        <v>742</v>
      </c>
      <c r="EK7" s="192" t="s">
        <v>755</v>
      </c>
      <c r="EL7" s="192" t="s">
        <v>673</v>
      </c>
      <c r="EM7" s="192" t="s">
        <v>763</v>
      </c>
      <c r="EN7" s="192" t="s">
        <v>745</v>
      </c>
      <c r="EO7" s="192" t="s">
        <v>668</v>
      </c>
      <c r="EP7" s="192" t="s">
        <v>668</v>
      </c>
      <c r="EQ7" s="192" t="s">
        <v>668</v>
      </c>
      <c r="ER7" s="192" t="s">
        <v>668</v>
      </c>
      <c r="ES7" s="192" t="s">
        <v>49</v>
      </c>
      <c r="ET7" s="192" t="s">
        <v>660</v>
      </c>
      <c r="EU7" s="192" t="s">
        <v>686</v>
      </c>
      <c r="EV7" s="192" t="s">
        <v>135</v>
      </c>
      <c r="EW7" s="192" t="s">
        <v>660</v>
      </c>
      <c r="EX7" s="192" t="s">
        <v>746</v>
      </c>
      <c r="EY7" s="192" t="s">
        <v>747</v>
      </c>
      <c r="EZ7" s="192" t="s">
        <v>714</v>
      </c>
      <c r="FA7" s="192" t="s">
        <v>673</v>
      </c>
      <c r="FB7" s="192" t="s">
        <v>748</v>
      </c>
      <c r="FC7" s="192" t="s">
        <v>745</v>
      </c>
      <c r="FD7" s="192" t="s">
        <v>673</v>
      </c>
      <c r="FE7" s="192" t="s">
        <v>673</v>
      </c>
      <c r="FF7" s="192" t="s">
        <v>673</v>
      </c>
      <c r="FG7" s="192" t="s">
        <v>668</v>
      </c>
      <c r="FH7" s="192" t="s">
        <v>764</v>
      </c>
      <c r="FI7" s="192" t="s">
        <v>674</v>
      </c>
      <c r="FJ7" s="192" t="s">
        <v>660</v>
      </c>
    </row>
    <row r="8" spans="1:166" ht="240">
      <c r="A8" s="196">
        <v>46120.483460648145</v>
      </c>
      <c r="B8" s="196">
        <v>46125.6093287037</v>
      </c>
      <c r="C8" s="192" t="s">
        <v>507</v>
      </c>
      <c r="D8" s="192" t="s">
        <v>765</v>
      </c>
      <c r="E8">
        <v>100</v>
      </c>
      <c r="F8">
        <v>442875</v>
      </c>
      <c r="G8" s="192" t="s">
        <v>658</v>
      </c>
      <c r="H8" s="196">
        <v>46125.609345775461</v>
      </c>
      <c r="I8" s="192" t="s">
        <v>766</v>
      </c>
      <c r="J8" s="192" t="s">
        <v>660</v>
      </c>
      <c r="K8" s="192" t="s">
        <v>660</v>
      </c>
      <c r="L8" s="192" t="s">
        <v>660</v>
      </c>
      <c r="M8" s="192" t="s">
        <v>660</v>
      </c>
      <c r="N8">
        <v>52.229900000000001</v>
      </c>
      <c r="O8">
        <v>21.0093</v>
      </c>
      <c r="P8" s="192" t="s">
        <v>661</v>
      </c>
      <c r="Q8" s="192" t="s">
        <v>662</v>
      </c>
      <c r="R8" s="192" t="s">
        <v>15</v>
      </c>
      <c r="S8" s="192" t="s">
        <v>663</v>
      </c>
      <c r="T8" s="192" t="s">
        <v>767</v>
      </c>
      <c r="U8" s="192" t="s">
        <v>660</v>
      </c>
      <c r="V8" s="192" t="s">
        <v>660</v>
      </c>
      <c r="W8" s="192" t="s">
        <v>660</v>
      </c>
      <c r="X8" s="192" t="s">
        <v>660</v>
      </c>
      <c r="Y8" s="192" t="s">
        <v>660</v>
      </c>
      <c r="Z8" s="192" t="s">
        <v>306</v>
      </c>
      <c r="AA8" s="192" t="s">
        <v>660</v>
      </c>
      <c r="AB8" s="192" t="s">
        <v>660</v>
      </c>
      <c r="AC8" s="192" t="s">
        <v>206</v>
      </c>
      <c r="AD8" s="192" t="s">
        <v>660</v>
      </c>
      <c r="AE8" s="192" t="s">
        <v>679</v>
      </c>
      <c r="AF8" s="192" t="s">
        <v>311</v>
      </c>
      <c r="AG8" s="192" t="s">
        <v>660</v>
      </c>
      <c r="AH8" s="192" t="s">
        <v>310</v>
      </c>
      <c r="AI8" s="192" t="s">
        <v>768</v>
      </c>
      <c r="AJ8" s="192" t="s">
        <v>769</v>
      </c>
      <c r="AK8" s="192" t="s">
        <v>673</v>
      </c>
      <c r="AL8" s="192" t="s">
        <v>770</v>
      </c>
      <c r="AM8" s="192" t="s">
        <v>770</v>
      </c>
      <c r="AN8" s="192" t="s">
        <v>660</v>
      </c>
      <c r="AO8" s="192" t="s">
        <v>660</v>
      </c>
      <c r="AP8" s="192" t="s">
        <v>660</v>
      </c>
      <c r="AQ8" s="192" t="s">
        <v>668</v>
      </c>
      <c r="AR8" s="192" t="s">
        <v>660</v>
      </c>
      <c r="AS8" s="192" t="s">
        <v>660</v>
      </c>
      <c r="AT8" s="192" t="s">
        <v>660</v>
      </c>
      <c r="AU8" s="192" t="s">
        <v>660</v>
      </c>
      <c r="AV8" s="192" t="s">
        <v>660</v>
      </c>
      <c r="AW8" s="192" t="s">
        <v>660</v>
      </c>
      <c r="AX8" s="192" t="s">
        <v>660</v>
      </c>
      <c r="AY8" s="192" t="s">
        <v>660</v>
      </c>
      <c r="AZ8" s="192" t="s">
        <v>660</v>
      </c>
      <c r="BA8" s="192" t="s">
        <v>660</v>
      </c>
      <c r="BB8" s="192" t="s">
        <v>660</v>
      </c>
      <c r="BC8" s="192" t="s">
        <v>660</v>
      </c>
      <c r="BD8" s="192" t="s">
        <v>660</v>
      </c>
      <c r="BE8" s="192" t="s">
        <v>660</v>
      </c>
      <c r="BF8" s="192" t="s">
        <v>660</v>
      </c>
      <c r="BG8" s="192" t="s">
        <v>660</v>
      </c>
      <c r="BH8" s="192" t="s">
        <v>660</v>
      </c>
      <c r="BI8" s="192" t="s">
        <v>660</v>
      </c>
      <c r="BJ8" s="192" t="s">
        <v>660</v>
      </c>
      <c r="BK8" s="192" t="s">
        <v>660</v>
      </c>
      <c r="BL8" s="192" t="s">
        <v>660</v>
      </c>
      <c r="BM8" s="192" t="s">
        <v>660</v>
      </c>
      <c r="BN8" s="192" t="s">
        <v>660</v>
      </c>
      <c r="BO8" s="192" t="s">
        <v>660</v>
      </c>
      <c r="BP8" s="192" t="s">
        <v>660</v>
      </c>
      <c r="BQ8" s="192" t="s">
        <v>660</v>
      </c>
      <c r="BR8" s="192" t="s">
        <v>660</v>
      </c>
      <c r="BS8" s="192" t="s">
        <v>660</v>
      </c>
      <c r="BT8" s="192" t="s">
        <v>660</v>
      </c>
      <c r="BU8" s="192" t="s">
        <v>660</v>
      </c>
      <c r="BV8" s="192" t="s">
        <v>660</v>
      </c>
      <c r="BW8" s="192" t="s">
        <v>660</v>
      </c>
      <c r="BX8" s="192" t="s">
        <v>660</v>
      </c>
      <c r="BY8" s="192" t="s">
        <v>660</v>
      </c>
      <c r="BZ8" s="192" t="s">
        <v>660</v>
      </c>
      <c r="CA8" s="192" t="s">
        <v>660</v>
      </c>
      <c r="CB8" s="192" t="s">
        <v>660</v>
      </c>
      <c r="CC8" s="192" t="s">
        <v>660</v>
      </c>
      <c r="CD8" s="192" t="s">
        <v>660</v>
      </c>
      <c r="CE8" s="192" t="s">
        <v>660</v>
      </c>
      <c r="CF8" s="192" t="s">
        <v>660</v>
      </c>
      <c r="CG8" s="192" t="s">
        <v>660</v>
      </c>
      <c r="CH8" s="192" t="s">
        <v>660</v>
      </c>
      <c r="CI8" s="192" t="s">
        <v>660</v>
      </c>
      <c r="CJ8" s="192" t="s">
        <v>660</v>
      </c>
      <c r="CK8" s="192" t="s">
        <v>660</v>
      </c>
      <c r="CL8" s="192" t="s">
        <v>660</v>
      </c>
      <c r="CM8" s="192" t="s">
        <v>660</v>
      </c>
      <c r="CN8" s="192" t="s">
        <v>660</v>
      </c>
      <c r="CO8" s="192" t="s">
        <v>660</v>
      </c>
      <c r="CP8" s="192" t="s">
        <v>660</v>
      </c>
      <c r="CQ8" s="192" t="s">
        <v>660</v>
      </c>
      <c r="CR8" s="192" t="s">
        <v>660</v>
      </c>
      <c r="CS8" s="192" t="s">
        <v>660</v>
      </c>
      <c r="CT8" s="192" t="s">
        <v>660</v>
      </c>
      <c r="CU8" s="192" t="s">
        <v>660</v>
      </c>
      <c r="CV8" s="192" t="s">
        <v>660</v>
      </c>
      <c r="CW8" s="192" t="s">
        <v>660</v>
      </c>
      <c r="CX8" s="192" t="s">
        <v>660</v>
      </c>
      <c r="CY8" s="192" t="s">
        <v>660</v>
      </c>
      <c r="CZ8" s="192" t="s">
        <v>660</v>
      </c>
      <c r="DA8" s="192" t="s">
        <v>660</v>
      </c>
      <c r="DB8" s="192" t="s">
        <v>660</v>
      </c>
      <c r="DC8" s="192" t="s">
        <v>660</v>
      </c>
      <c r="DD8" s="192" t="s">
        <v>660</v>
      </c>
      <c r="DE8" s="192" t="s">
        <v>660</v>
      </c>
      <c r="DF8" s="192" t="s">
        <v>660</v>
      </c>
      <c r="DG8" s="192" t="s">
        <v>660</v>
      </c>
      <c r="DH8" s="192" t="s">
        <v>660</v>
      </c>
      <c r="DI8" s="192" t="s">
        <v>660</v>
      </c>
      <c r="DJ8" s="192" t="s">
        <v>660</v>
      </c>
      <c r="DK8" s="192" t="s">
        <v>660</v>
      </c>
      <c r="DL8" s="192" t="s">
        <v>660</v>
      </c>
      <c r="DM8" s="192" t="s">
        <v>660</v>
      </c>
      <c r="DN8" s="192" t="s">
        <v>660</v>
      </c>
      <c r="DO8" s="192" t="s">
        <v>178</v>
      </c>
      <c r="DP8" s="192" t="s">
        <v>660</v>
      </c>
      <c r="DQ8" s="192" t="s">
        <v>679</v>
      </c>
      <c r="DR8" s="192" t="s">
        <v>277</v>
      </c>
      <c r="DS8" s="192" t="s">
        <v>660</v>
      </c>
      <c r="DT8" s="192" t="s">
        <v>307</v>
      </c>
      <c r="DU8" s="192" t="s">
        <v>771</v>
      </c>
      <c r="DV8" s="192" t="s">
        <v>688</v>
      </c>
      <c r="DW8" s="192" t="s">
        <v>668</v>
      </c>
      <c r="DX8" s="192" t="s">
        <v>772</v>
      </c>
      <c r="DY8" s="192" t="s">
        <v>772</v>
      </c>
      <c r="DZ8" s="192" t="s">
        <v>660</v>
      </c>
      <c r="EA8" s="192" t="s">
        <v>660</v>
      </c>
      <c r="EB8" s="192" t="s">
        <v>660</v>
      </c>
      <c r="EC8" s="192" t="s">
        <v>668</v>
      </c>
      <c r="ED8" s="192" t="s">
        <v>660</v>
      </c>
      <c r="EE8" s="192" t="s">
        <v>660</v>
      </c>
      <c r="EF8" s="192" t="s">
        <v>660</v>
      </c>
      <c r="EG8" s="192" t="s">
        <v>660</v>
      </c>
      <c r="EH8" s="192" t="s">
        <v>660</v>
      </c>
      <c r="EI8" s="192" t="s">
        <v>660</v>
      </c>
      <c r="EJ8" s="192" t="s">
        <v>660</v>
      </c>
      <c r="EK8" s="192" t="s">
        <v>660</v>
      </c>
      <c r="EL8" s="192" t="s">
        <v>660</v>
      </c>
      <c r="EM8" s="192" t="s">
        <v>660</v>
      </c>
      <c r="EN8" s="192" t="s">
        <v>660</v>
      </c>
      <c r="EO8" s="192" t="s">
        <v>660</v>
      </c>
      <c r="EP8" s="192" t="s">
        <v>660</v>
      </c>
      <c r="EQ8" s="192" t="s">
        <v>660</v>
      </c>
      <c r="ER8" s="192" t="s">
        <v>660</v>
      </c>
      <c r="ES8" s="192" t="s">
        <v>660</v>
      </c>
      <c r="ET8" s="192" t="s">
        <v>660</v>
      </c>
      <c r="EU8" s="192" t="s">
        <v>660</v>
      </c>
      <c r="EV8" s="192" t="s">
        <v>660</v>
      </c>
      <c r="EW8" s="192" t="s">
        <v>660</v>
      </c>
      <c r="EX8" s="192" t="s">
        <v>660</v>
      </c>
      <c r="EY8" s="192" t="s">
        <v>660</v>
      </c>
      <c r="EZ8" s="192" t="s">
        <v>660</v>
      </c>
      <c r="FA8" s="192" t="s">
        <v>660</v>
      </c>
      <c r="FB8" s="192" t="s">
        <v>660</v>
      </c>
      <c r="FC8" s="192" t="s">
        <v>660</v>
      </c>
      <c r="FD8" s="192" t="s">
        <v>660</v>
      </c>
      <c r="FE8" s="192" t="s">
        <v>660</v>
      </c>
      <c r="FF8" s="192" t="s">
        <v>660</v>
      </c>
      <c r="FG8" s="192" t="s">
        <v>660</v>
      </c>
      <c r="FH8" s="192" t="s">
        <v>773</v>
      </c>
      <c r="FI8" s="192" t="s">
        <v>674</v>
      </c>
      <c r="FJ8" s="192" t="s">
        <v>660</v>
      </c>
    </row>
    <row r="9" spans="1:166" ht="45">
      <c r="A9" s="196">
        <v>46120.56627314815</v>
      </c>
      <c r="B9" s="196">
        <v>46125.616354166668</v>
      </c>
      <c r="C9" s="192" t="s">
        <v>507</v>
      </c>
      <c r="D9" s="192" t="s">
        <v>774</v>
      </c>
      <c r="E9">
        <v>100</v>
      </c>
      <c r="F9">
        <v>436326</v>
      </c>
      <c r="G9" s="192" t="s">
        <v>658</v>
      </c>
      <c r="H9" s="196">
        <v>46125.616366215276</v>
      </c>
      <c r="I9" s="192" t="s">
        <v>775</v>
      </c>
      <c r="J9" s="192" t="s">
        <v>660</v>
      </c>
      <c r="K9" s="192" t="s">
        <v>660</v>
      </c>
      <c r="L9" s="192" t="s">
        <v>660</v>
      </c>
      <c r="M9" s="192" t="s">
        <v>660</v>
      </c>
      <c r="N9">
        <v>40.415300000000002</v>
      </c>
      <c r="O9">
        <v>-3.694</v>
      </c>
      <c r="P9" s="192" t="s">
        <v>661</v>
      </c>
      <c r="Q9" s="192" t="s">
        <v>662</v>
      </c>
      <c r="R9" s="192" t="s">
        <v>9</v>
      </c>
      <c r="S9" s="192" t="s">
        <v>660</v>
      </c>
      <c r="T9" s="192" t="s">
        <v>660</v>
      </c>
      <c r="U9" s="192" t="s">
        <v>660</v>
      </c>
      <c r="V9" s="192" t="s">
        <v>660</v>
      </c>
      <c r="W9" s="192" t="s">
        <v>660</v>
      </c>
      <c r="X9" s="192" t="s">
        <v>660</v>
      </c>
      <c r="Y9" s="192" t="s">
        <v>660</v>
      </c>
      <c r="Z9" s="192" t="s">
        <v>660</v>
      </c>
      <c r="AA9" s="192" t="s">
        <v>660</v>
      </c>
      <c r="AB9" s="192" t="s">
        <v>660</v>
      </c>
      <c r="AC9" s="192" t="s">
        <v>660</v>
      </c>
      <c r="AD9" s="192" t="s">
        <v>660</v>
      </c>
      <c r="AE9" s="192" t="s">
        <v>660</v>
      </c>
      <c r="AF9" s="192" t="s">
        <v>660</v>
      </c>
      <c r="AG9" s="192" t="s">
        <v>660</v>
      </c>
      <c r="AH9" s="192" t="s">
        <v>660</v>
      </c>
      <c r="AI9" s="192" t="s">
        <v>660</v>
      </c>
      <c r="AJ9" s="192" t="s">
        <v>660</v>
      </c>
      <c r="AK9" s="192" t="s">
        <v>660</v>
      </c>
      <c r="AL9" s="192" t="s">
        <v>660</v>
      </c>
      <c r="AM9" s="192" t="s">
        <v>660</v>
      </c>
      <c r="AN9" s="192" t="s">
        <v>660</v>
      </c>
      <c r="AO9" s="192" t="s">
        <v>660</v>
      </c>
      <c r="AP9" s="192" t="s">
        <v>660</v>
      </c>
      <c r="AQ9" s="192" t="s">
        <v>660</v>
      </c>
      <c r="AR9" s="192" t="s">
        <v>660</v>
      </c>
      <c r="AS9" s="192" t="s">
        <v>660</v>
      </c>
      <c r="AT9" s="192" t="s">
        <v>660</v>
      </c>
      <c r="AU9" s="192" t="s">
        <v>660</v>
      </c>
      <c r="AV9" s="192" t="s">
        <v>660</v>
      </c>
      <c r="AW9" s="192" t="s">
        <v>660</v>
      </c>
      <c r="AX9" s="192" t="s">
        <v>660</v>
      </c>
      <c r="AY9" s="192" t="s">
        <v>660</v>
      </c>
      <c r="AZ9" s="192" t="s">
        <v>660</v>
      </c>
      <c r="BA9" s="192" t="s">
        <v>660</v>
      </c>
      <c r="BB9" s="192" t="s">
        <v>660</v>
      </c>
      <c r="BC9" s="192" t="s">
        <v>660</v>
      </c>
      <c r="BD9" s="192" t="s">
        <v>660</v>
      </c>
      <c r="BE9" s="192" t="s">
        <v>660</v>
      </c>
      <c r="BF9" s="192" t="s">
        <v>660</v>
      </c>
      <c r="BG9" s="192" t="s">
        <v>660</v>
      </c>
      <c r="BH9" s="192" t="s">
        <v>660</v>
      </c>
      <c r="BI9" s="192" t="s">
        <v>660</v>
      </c>
      <c r="BJ9" s="192" t="s">
        <v>660</v>
      </c>
      <c r="BK9" s="192" t="s">
        <v>660</v>
      </c>
      <c r="BL9" s="192" t="s">
        <v>660</v>
      </c>
      <c r="BM9" s="192" t="s">
        <v>660</v>
      </c>
      <c r="BN9" s="192" t="s">
        <v>660</v>
      </c>
      <c r="BO9" s="192" t="s">
        <v>660</v>
      </c>
      <c r="BP9" s="192" t="s">
        <v>660</v>
      </c>
      <c r="BQ9" s="192" t="s">
        <v>660</v>
      </c>
      <c r="BR9" s="192" t="s">
        <v>660</v>
      </c>
      <c r="BS9" s="192" t="s">
        <v>660</v>
      </c>
      <c r="BT9" s="192" t="s">
        <v>660</v>
      </c>
      <c r="BU9" s="192" t="s">
        <v>660</v>
      </c>
      <c r="BV9" s="192" t="s">
        <v>660</v>
      </c>
      <c r="BW9" s="192" t="s">
        <v>660</v>
      </c>
      <c r="BX9" s="192" t="s">
        <v>660</v>
      </c>
      <c r="BY9" s="192" t="s">
        <v>660</v>
      </c>
      <c r="BZ9" s="192" t="s">
        <v>660</v>
      </c>
      <c r="CA9" s="192" t="s">
        <v>660</v>
      </c>
      <c r="CB9" s="192" t="s">
        <v>660</v>
      </c>
      <c r="CC9" s="192" t="s">
        <v>660</v>
      </c>
      <c r="CD9" s="192" t="s">
        <v>660</v>
      </c>
      <c r="CE9" s="192" t="s">
        <v>660</v>
      </c>
      <c r="CF9" s="192" t="s">
        <v>660</v>
      </c>
      <c r="CG9" s="192" t="s">
        <v>660</v>
      </c>
      <c r="CH9" s="192" t="s">
        <v>660</v>
      </c>
      <c r="CI9" s="192" t="s">
        <v>660</v>
      </c>
      <c r="CJ9" s="192" t="s">
        <v>660</v>
      </c>
      <c r="CK9" s="192" t="s">
        <v>660</v>
      </c>
      <c r="CL9" s="192" t="s">
        <v>660</v>
      </c>
      <c r="CM9" s="192" t="s">
        <v>660</v>
      </c>
      <c r="CN9" s="192" t="s">
        <v>660</v>
      </c>
      <c r="CO9" s="192" t="s">
        <v>660</v>
      </c>
      <c r="CP9" s="192" t="s">
        <v>660</v>
      </c>
      <c r="CQ9" s="192" t="s">
        <v>660</v>
      </c>
      <c r="CR9" s="192" t="s">
        <v>660</v>
      </c>
      <c r="CS9" s="192" t="s">
        <v>660</v>
      </c>
      <c r="CT9" s="192" t="s">
        <v>660</v>
      </c>
      <c r="CU9" s="192" t="s">
        <v>660</v>
      </c>
      <c r="CV9" s="192" t="s">
        <v>660</v>
      </c>
      <c r="CW9" s="192" t="s">
        <v>660</v>
      </c>
      <c r="CX9" s="192" t="s">
        <v>660</v>
      </c>
      <c r="CY9" s="192" t="s">
        <v>660</v>
      </c>
      <c r="CZ9" s="192" t="s">
        <v>660</v>
      </c>
      <c r="DA9" s="192" t="s">
        <v>660</v>
      </c>
      <c r="DB9" s="192" t="s">
        <v>660</v>
      </c>
      <c r="DC9" s="192" t="s">
        <v>660</v>
      </c>
      <c r="DD9" s="192" t="s">
        <v>660</v>
      </c>
      <c r="DE9" s="192" t="s">
        <v>660</v>
      </c>
      <c r="DF9" s="192" t="s">
        <v>660</v>
      </c>
      <c r="DG9" s="192" t="s">
        <v>660</v>
      </c>
      <c r="DH9" s="192" t="s">
        <v>660</v>
      </c>
      <c r="DI9" s="192" t="s">
        <v>660</v>
      </c>
      <c r="DJ9" s="192" t="s">
        <v>660</v>
      </c>
      <c r="DK9" s="192" t="s">
        <v>660</v>
      </c>
      <c r="DL9" s="192" t="s">
        <v>660</v>
      </c>
      <c r="DM9" s="192" t="s">
        <v>660</v>
      </c>
      <c r="DN9" s="192" t="s">
        <v>660</v>
      </c>
      <c r="DO9" s="192" t="s">
        <v>660</v>
      </c>
      <c r="DP9" s="192" t="s">
        <v>660</v>
      </c>
      <c r="DQ9" s="192" t="s">
        <v>660</v>
      </c>
      <c r="DR9" s="192" t="s">
        <v>660</v>
      </c>
      <c r="DS9" s="192" t="s">
        <v>660</v>
      </c>
      <c r="DT9" s="192" t="s">
        <v>660</v>
      </c>
      <c r="DU9" s="192" t="s">
        <v>660</v>
      </c>
      <c r="DV9" s="192" t="s">
        <v>660</v>
      </c>
      <c r="DW9" s="192" t="s">
        <v>660</v>
      </c>
      <c r="DX9" s="192" t="s">
        <v>660</v>
      </c>
      <c r="DY9" s="192" t="s">
        <v>660</v>
      </c>
      <c r="DZ9" s="192" t="s">
        <v>660</v>
      </c>
      <c r="EA9" s="192" t="s">
        <v>660</v>
      </c>
      <c r="EB9" s="192" t="s">
        <v>660</v>
      </c>
      <c r="EC9" s="192" t="s">
        <v>660</v>
      </c>
      <c r="ED9" s="192" t="s">
        <v>660</v>
      </c>
      <c r="EE9" s="192" t="s">
        <v>660</v>
      </c>
      <c r="EF9" s="192" t="s">
        <v>660</v>
      </c>
      <c r="EG9" s="192" t="s">
        <v>660</v>
      </c>
      <c r="EH9" s="192" t="s">
        <v>660</v>
      </c>
      <c r="EI9" s="192" t="s">
        <v>660</v>
      </c>
      <c r="EJ9" s="192" t="s">
        <v>660</v>
      </c>
      <c r="EK9" s="192" t="s">
        <v>660</v>
      </c>
      <c r="EL9" s="192" t="s">
        <v>660</v>
      </c>
      <c r="EM9" s="192" t="s">
        <v>660</v>
      </c>
      <c r="EN9" s="192" t="s">
        <v>660</v>
      </c>
      <c r="EO9" s="192" t="s">
        <v>660</v>
      </c>
      <c r="EP9" s="192" t="s">
        <v>660</v>
      </c>
      <c r="EQ9" s="192" t="s">
        <v>660</v>
      </c>
      <c r="ER9" s="192" t="s">
        <v>660</v>
      </c>
      <c r="ES9" s="192" t="s">
        <v>660</v>
      </c>
      <c r="ET9" s="192" t="s">
        <v>660</v>
      </c>
      <c r="EU9" s="192" t="s">
        <v>660</v>
      </c>
      <c r="EV9" s="192" t="s">
        <v>660</v>
      </c>
      <c r="EW9" s="192" t="s">
        <v>660</v>
      </c>
      <c r="EX9" s="192" t="s">
        <v>660</v>
      </c>
      <c r="EY9" s="192" t="s">
        <v>660</v>
      </c>
      <c r="EZ9" s="192" t="s">
        <v>660</v>
      </c>
      <c r="FA9" s="192" t="s">
        <v>660</v>
      </c>
      <c r="FB9" s="192" t="s">
        <v>660</v>
      </c>
      <c r="FC9" s="192" t="s">
        <v>660</v>
      </c>
      <c r="FD9" s="192" t="s">
        <v>660</v>
      </c>
      <c r="FE9" s="192" t="s">
        <v>660</v>
      </c>
      <c r="FF9" s="192" t="s">
        <v>660</v>
      </c>
      <c r="FG9" s="192" t="s">
        <v>660</v>
      </c>
      <c r="FH9" s="192" t="s">
        <v>660</v>
      </c>
      <c r="FI9" s="192" t="s">
        <v>674</v>
      </c>
      <c r="FJ9" s="192" t="s">
        <v>660</v>
      </c>
    </row>
    <row r="10" spans="1:166" ht="409.5">
      <c r="A10" s="196">
        <v>46120.85255787037</v>
      </c>
      <c r="B10" s="196">
        <v>46125.686562499999</v>
      </c>
      <c r="C10" s="192" t="s">
        <v>507</v>
      </c>
      <c r="D10" s="192" t="s">
        <v>776</v>
      </c>
      <c r="E10">
        <v>100</v>
      </c>
      <c r="F10">
        <v>417657</v>
      </c>
      <c r="G10" s="192" t="s">
        <v>658</v>
      </c>
      <c r="H10" s="196">
        <v>46125.686574108797</v>
      </c>
      <c r="I10" s="192" t="s">
        <v>777</v>
      </c>
      <c r="J10" s="192" t="s">
        <v>660</v>
      </c>
      <c r="K10" s="192" t="s">
        <v>660</v>
      </c>
      <c r="L10" s="192" t="s">
        <v>660</v>
      </c>
      <c r="M10" s="192" t="s">
        <v>660</v>
      </c>
      <c r="N10">
        <v>-23.629300000000001</v>
      </c>
      <c r="O10">
        <v>-46.635100000000001</v>
      </c>
      <c r="P10" s="192" t="s">
        <v>661</v>
      </c>
      <c r="Q10" s="192" t="s">
        <v>662</v>
      </c>
      <c r="R10" s="192" t="s">
        <v>17</v>
      </c>
      <c r="S10" s="192" t="s">
        <v>778</v>
      </c>
      <c r="T10" s="192" t="s">
        <v>779</v>
      </c>
      <c r="U10" s="192" t="s">
        <v>324</v>
      </c>
      <c r="V10" s="192" t="s">
        <v>327</v>
      </c>
      <c r="W10" s="192" t="s">
        <v>330</v>
      </c>
      <c r="X10" s="192" t="s">
        <v>660</v>
      </c>
      <c r="Y10" s="192" t="s">
        <v>660</v>
      </c>
      <c r="Z10" s="192" t="s">
        <v>780</v>
      </c>
      <c r="AA10" s="192" t="s">
        <v>660</v>
      </c>
      <c r="AB10" s="192" t="s">
        <v>660</v>
      </c>
      <c r="AC10" s="192" t="s">
        <v>781</v>
      </c>
      <c r="AD10" s="192" t="s">
        <v>782</v>
      </c>
      <c r="AE10" s="192" t="s">
        <v>686</v>
      </c>
      <c r="AF10" s="192" t="s">
        <v>322</v>
      </c>
      <c r="AG10" s="192" t="s">
        <v>660</v>
      </c>
      <c r="AH10" s="192" t="s">
        <v>321</v>
      </c>
      <c r="AI10" s="192" t="s">
        <v>783</v>
      </c>
      <c r="AJ10" s="192" t="s">
        <v>769</v>
      </c>
      <c r="AK10" s="192" t="s">
        <v>668</v>
      </c>
      <c r="AL10" s="192" t="s">
        <v>784</v>
      </c>
      <c r="AM10" s="192" t="s">
        <v>785</v>
      </c>
      <c r="AN10" s="192" t="s">
        <v>668</v>
      </c>
      <c r="AO10" s="192" t="s">
        <v>668</v>
      </c>
      <c r="AP10" s="192" t="s">
        <v>668</v>
      </c>
      <c r="AQ10" s="192" t="s">
        <v>668</v>
      </c>
      <c r="AR10" s="192" t="s">
        <v>153</v>
      </c>
      <c r="AS10" s="192" t="s">
        <v>786</v>
      </c>
      <c r="AT10" s="192" t="s">
        <v>686</v>
      </c>
      <c r="AU10" s="192" t="s">
        <v>317</v>
      </c>
      <c r="AV10" s="192" t="s">
        <v>660</v>
      </c>
      <c r="AW10" s="192" t="s">
        <v>326</v>
      </c>
      <c r="AX10" s="192" t="s">
        <v>787</v>
      </c>
      <c r="AY10" s="192" t="s">
        <v>788</v>
      </c>
      <c r="AZ10" s="192" t="s">
        <v>673</v>
      </c>
      <c r="BA10" s="192" t="s">
        <v>784</v>
      </c>
      <c r="BB10" s="192" t="s">
        <v>789</v>
      </c>
      <c r="BC10" s="192" t="s">
        <v>668</v>
      </c>
      <c r="BD10" s="192" t="s">
        <v>668</v>
      </c>
      <c r="BE10" s="192" t="s">
        <v>668</v>
      </c>
      <c r="BF10" s="192" t="s">
        <v>673</v>
      </c>
      <c r="BG10" s="192" t="s">
        <v>141</v>
      </c>
      <c r="BH10" s="192" t="s">
        <v>660</v>
      </c>
      <c r="BI10" s="192" t="s">
        <v>790</v>
      </c>
      <c r="BJ10" s="192" t="s">
        <v>329</v>
      </c>
      <c r="BK10" s="192" t="s">
        <v>660</v>
      </c>
      <c r="BL10" s="192" t="s">
        <v>328</v>
      </c>
      <c r="BM10" s="192" t="s">
        <v>791</v>
      </c>
      <c r="BN10" s="192" t="s">
        <v>792</v>
      </c>
      <c r="BO10" s="192" t="s">
        <v>668</v>
      </c>
      <c r="BP10" s="192" t="s">
        <v>784</v>
      </c>
      <c r="BQ10" s="192" t="s">
        <v>789</v>
      </c>
      <c r="BR10" s="192" t="s">
        <v>668</v>
      </c>
      <c r="BS10" s="192" t="s">
        <v>668</v>
      </c>
      <c r="BT10" s="192" t="s">
        <v>668</v>
      </c>
      <c r="BU10" s="192" t="s">
        <v>673</v>
      </c>
      <c r="BV10" s="192" t="s">
        <v>206</v>
      </c>
      <c r="BW10" s="192" t="s">
        <v>660</v>
      </c>
      <c r="BX10" s="192" t="s">
        <v>793</v>
      </c>
      <c r="BY10" s="192" t="s">
        <v>332</v>
      </c>
      <c r="BZ10" s="192" t="s">
        <v>660</v>
      </c>
      <c r="CA10" s="192" t="s">
        <v>331</v>
      </c>
      <c r="CB10" s="192" t="s">
        <v>794</v>
      </c>
      <c r="CC10" s="192" t="s">
        <v>795</v>
      </c>
      <c r="CD10" s="192" t="s">
        <v>668</v>
      </c>
      <c r="CE10" s="192" t="s">
        <v>784</v>
      </c>
      <c r="CF10" s="192" t="s">
        <v>789</v>
      </c>
      <c r="CG10" s="192" t="s">
        <v>668</v>
      </c>
      <c r="CH10" s="192" t="s">
        <v>668</v>
      </c>
      <c r="CI10" s="192" t="s">
        <v>668</v>
      </c>
      <c r="CJ10" s="192" t="s">
        <v>673</v>
      </c>
      <c r="CK10" s="192" t="s">
        <v>660</v>
      </c>
      <c r="CL10" s="192" t="s">
        <v>660</v>
      </c>
      <c r="CM10" s="192" t="s">
        <v>660</v>
      </c>
      <c r="CN10" s="192" t="s">
        <v>660</v>
      </c>
      <c r="CO10" s="192" t="s">
        <v>660</v>
      </c>
      <c r="CP10" s="192" t="s">
        <v>660</v>
      </c>
      <c r="CQ10" s="192" t="s">
        <v>660</v>
      </c>
      <c r="CR10" s="192" t="s">
        <v>660</v>
      </c>
      <c r="CS10" s="192" t="s">
        <v>660</v>
      </c>
      <c r="CT10" s="192" t="s">
        <v>660</v>
      </c>
      <c r="CU10" s="192" t="s">
        <v>660</v>
      </c>
      <c r="CV10" s="192" t="s">
        <v>660</v>
      </c>
      <c r="CW10" s="192" t="s">
        <v>660</v>
      </c>
      <c r="CX10" s="192" t="s">
        <v>660</v>
      </c>
      <c r="CY10" s="192" t="s">
        <v>660</v>
      </c>
      <c r="CZ10" s="192" t="s">
        <v>660</v>
      </c>
      <c r="DA10" s="192" t="s">
        <v>660</v>
      </c>
      <c r="DB10" s="192" t="s">
        <v>660</v>
      </c>
      <c r="DC10" s="192" t="s">
        <v>660</v>
      </c>
      <c r="DD10" s="192" t="s">
        <v>660</v>
      </c>
      <c r="DE10" s="192" t="s">
        <v>660</v>
      </c>
      <c r="DF10" s="192" t="s">
        <v>660</v>
      </c>
      <c r="DG10" s="192" t="s">
        <v>660</v>
      </c>
      <c r="DH10" s="192" t="s">
        <v>660</v>
      </c>
      <c r="DI10" s="192" t="s">
        <v>660</v>
      </c>
      <c r="DJ10" s="192" t="s">
        <v>660</v>
      </c>
      <c r="DK10" s="192" t="s">
        <v>660</v>
      </c>
      <c r="DL10" s="192" t="s">
        <v>660</v>
      </c>
      <c r="DM10" s="192" t="s">
        <v>660</v>
      </c>
      <c r="DN10" s="192" t="s">
        <v>660</v>
      </c>
      <c r="DO10" s="192" t="s">
        <v>178</v>
      </c>
      <c r="DP10" s="192" t="s">
        <v>660</v>
      </c>
      <c r="DQ10" s="192" t="s">
        <v>686</v>
      </c>
      <c r="DR10" s="192" t="s">
        <v>317</v>
      </c>
      <c r="DS10" s="192" t="s">
        <v>660</v>
      </c>
      <c r="DT10" s="192" t="s">
        <v>316</v>
      </c>
      <c r="DU10" s="192" t="s">
        <v>791</v>
      </c>
      <c r="DV10" s="192" t="s">
        <v>792</v>
      </c>
      <c r="DW10" s="192" t="s">
        <v>673</v>
      </c>
      <c r="DX10" s="192" t="s">
        <v>784</v>
      </c>
      <c r="DY10" s="192" t="s">
        <v>789</v>
      </c>
      <c r="DZ10" s="192" t="s">
        <v>668</v>
      </c>
      <c r="EA10" s="192" t="s">
        <v>668</v>
      </c>
      <c r="EB10" s="192" t="s">
        <v>668</v>
      </c>
      <c r="EC10" s="192" t="s">
        <v>673</v>
      </c>
      <c r="ED10" s="192" t="s">
        <v>660</v>
      </c>
      <c r="EE10" s="192" t="s">
        <v>660</v>
      </c>
      <c r="EF10" s="192" t="s">
        <v>660</v>
      </c>
      <c r="EG10" s="192" t="s">
        <v>660</v>
      </c>
      <c r="EH10" s="192" t="s">
        <v>660</v>
      </c>
      <c r="EI10" s="192" t="s">
        <v>660</v>
      </c>
      <c r="EJ10" s="192" t="s">
        <v>660</v>
      </c>
      <c r="EK10" s="192" t="s">
        <v>660</v>
      </c>
      <c r="EL10" s="192" t="s">
        <v>660</v>
      </c>
      <c r="EM10" s="192" t="s">
        <v>660</v>
      </c>
      <c r="EN10" s="192" t="s">
        <v>660</v>
      </c>
      <c r="EO10" s="192" t="s">
        <v>660</v>
      </c>
      <c r="EP10" s="192" t="s">
        <v>660</v>
      </c>
      <c r="EQ10" s="192" t="s">
        <v>660</v>
      </c>
      <c r="ER10" s="192" t="s">
        <v>660</v>
      </c>
      <c r="ES10" s="192" t="s">
        <v>660</v>
      </c>
      <c r="ET10" s="192" t="s">
        <v>660</v>
      </c>
      <c r="EU10" s="192" t="s">
        <v>660</v>
      </c>
      <c r="EV10" s="192" t="s">
        <v>660</v>
      </c>
      <c r="EW10" s="192" t="s">
        <v>660</v>
      </c>
      <c r="EX10" s="192" t="s">
        <v>660</v>
      </c>
      <c r="EY10" s="192" t="s">
        <v>660</v>
      </c>
      <c r="EZ10" s="192" t="s">
        <v>660</v>
      </c>
      <c r="FA10" s="192" t="s">
        <v>660</v>
      </c>
      <c r="FB10" s="192" t="s">
        <v>660</v>
      </c>
      <c r="FC10" s="192" t="s">
        <v>660</v>
      </c>
      <c r="FD10" s="192" t="s">
        <v>660</v>
      </c>
      <c r="FE10" s="192" t="s">
        <v>660</v>
      </c>
      <c r="FF10" s="192" t="s">
        <v>660</v>
      </c>
      <c r="FG10" s="192" t="s">
        <v>660</v>
      </c>
      <c r="FH10" s="192" t="s">
        <v>796</v>
      </c>
      <c r="FI10" s="192" t="s">
        <v>674</v>
      </c>
      <c r="FJ10" s="192" t="s">
        <v>660</v>
      </c>
    </row>
    <row r="11" spans="1:166" ht="409.5">
      <c r="A11" s="196">
        <v>46125.662754629629</v>
      </c>
      <c r="B11" s="196">
        <v>46125.69740740741</v>
      </c>
      <c r="C11" s="192" t="s">
        <v>507</v>
      </c>
      <c r="D11" s="192" t="s">
        <v>797</v>
      </c>
      <c r="E11">
        <v>100</v>
      </c>
      <c r="F11">
        <v>2993</v>
      </c>
      <c r="G11" s="192" t="s">
        <v>658</v>
      </c>
      <c r="H11" s="196">
        <v>46125.697420358796</v>
      </c>
      <c r="I11" s="192" t="s">
        <v>798</v>
      </c>
      <c r="J11" s="192" t="s">
        <v>660</v>
      </c>
      <c r="K11" s="192" t="s">
        <v>660</v>
      </c>
      <c r="L11" s="192" t="s">
        <v>660</v>
      </c>
      <c r="M11" s="192" t="s">
        <v>660</v>
      </c>
      <c r="N11">
        <v>43.841500000000003</v>
      </c>
      <c r="O11">
        <v>-79.629499999999993</v>
      </c>
      <c r="P11" s="192" t="s">
        <v>661</v>
      </c>
      <c r="Q11" s="192" t="s">
        <v>662</v>
      </c>
      <c r="R11" s="192" t="s">
        <v>8</v>
      </c>
      <c r="S11" s="192" t="s">
        <v>799</v>
      </c>
      <c r="T11" s="192" t="s">
        <v>210</v>
      </c>
      <c r="U11" s="192" t="s">
        <v>660</v>
      </c>
      <c r="V11" s="192" t="s">
        <v>660</v>
      </c>
      <c r="W11" s="192" t="s">
        <v>214</v>
      </c>
      <c r="X11" s="192" t="s">
        <v>660</v>
      </c>
      <c r="Y11" s="192" t="s">
        <v>660</v>
      </c>
      <c r="Z11" s="192" t="s">
        <v>205</v>
      </c>
      <c r="AA11" s="192" t="s">
        <v>660</v>
      </c>
      <c r="AB11" s="192" t="s">
        <v>660</v>
      </c>
      <c r="AC11" s="192" t="s">
        <v>206</v>
      </c>
      <c r="AD11" s="192" t="s">
        <v>660</v>
      </c>
      <c r="AE11" s="192" t="s">
        <v>679</v>
      </c>
      <c r="AF11" s="192" t="s">
        <v>800</v>
      </c>
      <c r="AG11" s="192" t="s">
        <v>801</v>
      </c>
      <c r="AH11" s="192" t="s">
        <v>211</v>
      </c>
      <c r="AI11" s="192" t="s">
        <v>671</v>
      </c>
      <c r="AJ11" s="192" t="s">
        <v>795</v>
      </c>
      <c r="AK11" s="192" t="s">
        <v>668</v>
      </c>
      <c r="AL11" s="192" t="s">
        <v>802</v>
      </c>
      <c r="AM11" s="192" t="s">
        <v>803</v>
      </c>
      <c r="AN11" s="192" t="s">
        <v>668</v>
      </c>
      <c r="AO11" s="192" t="s">
        <v>668</v>
      </c>
      <c r="AP11" s="192" t="s">
        <v>668</v>
      </c>
      <c r="AQ11" s="192" t="s">
        <v>673</v>
      </c>
      <c r="AR11" s="192" t="s">
        <v>660</v>
      </c>
      <c r="AS11" s="192" t="s">
        <v>660</v>
      </c>
      <c r="AT11" s="192" t="s">
        <v>660</v>
      </c>
      <c r="AU11" s="192" t="s">
        <v>660</v>
      </c>
      <c r="AV11" s="192" t="s">
        <v>660</v>
      </c>
      <c r="AW11" s="192" t="s">
        <v>660</v>
      </c>
      <c r="AX11" s="192" t="s">
        <v>660</v>
      </c>
      <c r="AY11" s="192" t="s">
        <v>660</v>
      </c>
      <c r="AZ11" s="192" t="s">
        <v>660</v>
      </c>
      <c r="BA11" s="192" t="s">
        <v>660</v>
      </c>
      <c r="BB11" s="192" t="s">
        <v>660</v>
      </c>
      <c r="BC11" s="192" t="s">
        <v>660</v>
      </c>
      <c r="BD11" s="192" t="s">
        <v>660</v>
      </c>
      <c r="BE11" s="192" t="s">
        <v>660</v>
      </c>
      <c r="BF11" s="192" t="s">
        <v>660</v>
      </c>
      <c r="BG11" s="192" t="s">
        <v>660</v>
      </c>
      <c r="BH11" s="192" t="s">
        <v>660</v>
      </c>
      <c r="BI11" s="192" t="s">
        <v>660</v>
      </c>
      <c r="BJ11" s="192" t="s">
        <v>660</v>
      </c>
      <c r="BK11" s="192" t="s">
        <v>660</v>
      </c>
      <c r="BL11" s="192" t="s">
        <v>660</v>
      </c>
      <c r="BM11" s="192" t="s">
        <v>660</v>
      </c>
      <c r="BN11" s="192" t="s">
        <v>660</v>
      </c>
      <c r="BO11" s="192" t="s">
        <v>660</v>
      </c>
      <c r="BP11" s="192" t="s">
        <v>660</v>
      </c>
      <c r="BQ11" s="192" t="s">
        <v>660</v>
      </c>
      <c r="BR11" s="192" t="s">
        <v>660</v>
      </c>
      <c r="BS11" s="192" t="s">
        <v>660</v>
      </c>
      <c r="BT11" s="192" t="s">
        <v>660</v>
      </c>
      <c r="BU11" s="192" t="s">
        <v>660</v>
      </c>
      <c r="BV11" s="192" t="s">
        <v>153</v>
      </c>
      <c r="BW11" s="192" t="s">
        <v>804</v>
      </c>
      <c r="BX11" s="192" t="s">
        <v>805</v>
      </c>
      <c r="BY11" s="192" t="s">
        <v>806</v>
      </c>
      <c r="BZ11" s="192" t="s">
        <v>807</v>
      </c>
      <c r="CA11" s="192" t="s">
        <v>216</v>
      </c>
      <c r="CB11" s="192" t="s">
        <v>692</v>
      </c>
      <c r="CC11" s="192" t="s">
        <v>808</v>
      </c>
      <c r="CD11" s="192" t="s">
        <v>668</v>
      </c>
      <c r="CE11" s="192" t="s">
        <v>809</v>
      </c>
      <c r="CF11" s="192" t="s">
        <v>810</v>
      </c>
      <c r="CG11" s="192" t="s">
        <v>668</v>
      </c>
      <c r="CH11" s="192" t="s">
        <v>668</v>
      </c>
      <c r="CI11" s="192" t="s">
        <v>660</v>
      </c>
      <c r="CJ11" s="192" t="s">
        <v>668</v>
      </c>
      <c r="CK11" s="192" t="s">
        <v>660</v>
      </c>
      <c r="CL11" s="192" t="s">
        <v>660</v>
      </c>
      <c r="CM11" s="192" t="s">
        <v>660</v>
      </c>
      <c r="CN11" s="192" t="s">
        <v>660</v>
      </c>
      <c r="CO11" s="192" t="s">
        <v>660</v>
      </c>
      <c r="CP11" s="192" t="s">
        <v>660</v>
      </c>
      <c r="CQ11" s="192" t="s">
        <v>660</v>
      </c>
      <c r="CR11" s="192" t="s">
        <v>660</v>
      </c>
      <c r="CS11" s="192" t="s">
        <v>660</v>
      </c>
      <c r="CT11" s="192" t="s">
        <v>660</v>
      </c>
      <c r="CU11" s="192" t="s">
        <v>660</v>
      </c>
      <c r="CV11" s="192" t="s">
        <v>660</v>
      </c>
      <c r="CW11" s="192" t="s">
        <v>660</v>
      </c>
      <c r="CX11" s="192" t="s">
        <v>660</v>
      </c>
      <c r="CY11" s="192" t="s">
        <v>660</v>
      </c>
      <c r="CZ11" s="192" t="s">
        <v>660</v>
      </c>
      <c r="DA11" s="192" t="s">
        <v>660</v>
      </c>
      <c r="DB11" s="192" t="s">
        <v>660</v>
      </c>
      <c r="DC11" s="192" t="s">
        <v>660</v>
      </c>
      <c r="DD11" s="192" t="s">
        <v>660</v>
      </c>
      <c r="DE11" s="192" t="s">
        <v>660</v>
      </c>
      <c r="DF11" s="192" t="s">
        <v>660</v>
      </c>
      <c r="DG11" s="192" t="s">
        <v>660</v>
      </c>
      <c r="DH11" s="192" t="s">
        <v>660</v>
      </c>
      <c r="DI11" s="192" t="s">
        <v>660</v>
      </c>
      <c r="DJ11" s="192" t="s">
        <v>660</v>
      </c>
      <c r="DK11" s="192" t="s">
        <v>660</v>
      </c>
      <c r="DL11" s="192" t="s">
        <v>660</v>
      </c>
      <c r="DM11" s="192" t="s">
        <v>660</v>
      </c>
      <c r="DN11" s="192" t="s">
        <v>660</v>
      </c>
      <c r="DO11" s="192" t="s">
        <v>206</v>
      </c>
      <c r="DP11" s="192" t="s">
        <v>660</v>
      </c>
      <c r="DQ11" s="192" t="s">
        <v>679</v>
      </c>
      <c r="DR11" s="192" t="s">
        <v>811</v>
      </c>
      <c r="DS11" s="192" t="s">
        <v>812</v>
      </c>
      <c r="DT11" s="192" t="s">
        <v>207</v>
      </c>
      <c r="DU11" s="192" t="s">
        <v>813</v>
      </c>
      <c r="DV11" s="192" t="s">
        <v>814</v>
      </c>
      <c r="DW11" s="192" t="s">
        <v>668</v>
      </c>
      <c r="DX11" s="192" t="s">
        <v>815</v>
      </c>
      <c r="DY11" s="192" t="s">
        <v>816</v>
      </c>
      <c r="DZ11" s="192" t="s">
        <v>668</v>
      </c>
      <c r="EA11" s="192" t="s">
        <v>668</v>
      </c>
      <c r="EB11" s="192" t="s">
        <v>668</v>
      </c>
      <c r="EC11" s="192" t="s">
        <v>668</v>
      </c>
      <c r="ED11" s="192" t="s">
        <v>660</v>
      </c>
      <c r="EE11" s="192" t="s">
        <v>660</v>
      </c>
      <c r="EF11" s="192" t="s">
        <v>660</v>
      </c>
      <c r="EG11" s="192" t="s">
        <v>660</v>
      </c>
      <c r="EH11" s="192" t="s">
        <v>660</v>
      </c>
      <c r="EI11" s="192" t="s">
        <v>660</v>
      </c>
      <c r="EJ11" s="192" t="s">
        <v>660</v>
      </c>
      <c r="EK11" s="192" t="s">
        <v>660</v>
      </c>
      <c r="EL11" s="192" t="s">
        <v>660</v>
      </c>
      <c r="EM11" s="192" t="s">
        <v>660</v>
      </c>
      <c r="EN11" s="192" t="s">
        <v>660</v>
      </c>
      <c r="EO11" s="192" t="s">
        <v>660</v>
      </c>
      <c r="EP11" s="192" t="s">
        <v>660</v>
      </c>
      <c r="EQ11" s="192" t="s">
        <v>660</v>
      </c>
      <c r="ER11" s="192" t="s">
        <v>660</v>
      </c>
      <c r="ES11" s="192" t="s">
        <v>660</v>
      </c>
      <c r="ET11" s="192" t="s">
        <v>660</v>
      </c>
      <c r="EU11" s="192" t="s">
        <v>660</v>
      </c>
      <c r="EV11" s="192" t="s">
        <v>660</v>
      </c>
      <c r="EW11" s="192" t="s">
        <v>660</v>
      </c>
      <c r="EX11" s="192" t="s">
        <v>660</v>
      </c>
      <c r="EY11" s="192" t="s">
        <v>660</v>
      </c>
      <c r="EZ11" s="192" t="s">
        <v>660</v>
      </c>
      <c r="FA11" s="192" t="s">
        <v>660</v>
      </c>
      <c r="FB11" s="192" t="s">
        <v>660</v>
      </c>
      <c r="FC11" s="192" t="s">
        <v>660</v>
      </c>
      <c r="FD11" s="192" t="s">
        <v>660</v>
      </c>
      <c r="FE11" s="192" t="s">
        <v>660</v>
      </c>
      <c r="FF11" s="192" t="s">
        <v>660</v>
      </c>
      <c r="FG11" s="192" t="s">
        <v>660</v>
      </c>
      <c r="FH11" s="192" t="s">
        <v>660</v>
      </c>
      <c r="FI11" s="192" t="s">
        <v>674</v>
      </c>
      <c r="FJ11" s="192" t="s">
        <v>660</v>
      </c>
    </row>
    <row r="12" spans="1:166" ht="285">
      <c r="A12" s="196">
        <v>46125.629861111112</v>
      </c>
      <c r="B12" s="196">
        <v>46125.716504629629</v>
      </c>
      <c r="C12" s="192" t="s">
        <v>507</v>
      </c>
      <c r="D12" s="192" t="s">
        <v>817</v>
      </c>
      <c r="E12">
        <v>100</v>
      </c>
      <c r="F12">
        <v>7486</v>
      </c>
      <c r="G12" s="192" t="s">
        <v>658</v>
      </c>
      <c r="H12" s="196">
        <v>46125.716517395835</v>
      </c>
      <c r="I12" s="192" t="s">
        <v>818</v>
      </c>
      <c r="J12" s="192" t="s">
        <v>660</v>
      </c>
      <c r="K12" s="192" t="s">
        <v>660</v>
      </c>
      <c r="L12" s="192" t="s">
        <v>660</v>
      </c>
      <c r="M12" s="192" t="s">
        <v>660</v>
      </c>
      <c r="N12">
        <v>38.721899999999998</v>
      </c>
      <c r="O12">
        <v>-9.1397999999999993</v>
      </c>
      <c r="P12" s="192" t="s">
        <v>661</v>
      </c>
      <c r="Q12" s="192" t="s">
        <v>662</v>
      </c>
      <c r="R12" s="192" t="s">
        <v>11</v>
      </c>
      <c r="S12" s="192" t="s">
        <v>819</v>
      </c>
      <c r="T12" s="192" t="s">
        <v>660</v>
      </c>
      <c r="U12" s="192" t="s">
        <v>660</v>
      </c>
      <c r="V12" s="192" t="s">
        <v>660</v>
      </c>
      <c r="W12" s="192" t="s">
        <v>263</v>
      </c>
      <c r="X12" s="192" t="s">
        <v>268</v>
      </c>
      <c r="Y12" s="192" t="s">
        <v>266</v>
      </c>
      <c r="Z12" s="192" t="s">
        <v>259</v>
      </c>
      <c r="AA12" s="192" t="s">
        <v>660</v>
      </c>
      <c r="AB12" s="192" t="s">
        <v>660</v>
      </c>
      <c r="AC12" s="192" t="s">
        <v>660</v>
      </c>
      <c r="AD12" s="192" t="s">
        <v>660</v>
      </c>
      <c r="AE12" s="192" t="s">
        <v>660</v>
      </c>
      <c r="AF12" s="192" t="s">
        <v>660</v>
      </c>
      <c r="AG12" s="192" t="s">
        <v>660</v>
      </c>
      <c r="AH12" s="192" t="s">
        <v>660</v>
      </c>
      <c r="AI12" s="192" t="s">
        <v>660</v>
      </c>
      <c r="AJ12" s="192" t="s">
        <v>660</v>
      </c>
      <c r="AK12" s="192" t="s">
        <v>660</v>
      </c>
      <c r="AL12" s="192" t="s">
        <v>660</v>
      </c>
      <c r="AM12" s="192" t="s">
        <v>660</v>
      </c>
      <c r="AN12" s="192" t="s">
        <v>660</v>
      </c>
      <c r="AO12" s="192" t="s">
        <v>660</v>
      </c>
      <c r="AP12" s="192" t="s">
        <v>660</v>
      </c>
      <c r="AQ12" s="192" t="s">
        <v>660</v>
      </c>
      <c r="AR12" s="192" t="s">
        <v>660</v>
      </c>
      <c r="AS12" s="192" t="s">
        <v>660</v>
      </c>
      <c r="AT12" s="192" t="s">
        <v>660</v>
      </c>
      <c r="AU12" s="192" t="s">
        <v>660</v>
      </c>
      <c r="AV12" s="192" t="s">
        <v>660</v>
      </c>
      <c r="AW12" s="192" t="s">
        <v>660</v>
      </c>
      <c r="AX12" s="192" t="s">
        <v>660</v>
      </c>
      <c r="AY12" s="192" t="s">
        <v>660</v>
      </c>
      <c r="AZ12" s="192" t="s">
        <v>660</v>
      </c>
      <c r="BA12" s="192" t="s">
        <v>660</v>
      </c>
      <c r="BB12" s="192" t="s">
        <v>660</v>
      </c>
      <c r="BC12" s="192" t="s">
        <v>660</v>
      </c>
      <c r="BD12" s="192" t="s">
        <v>660</v>
      </c>
      <c r="BE12" s="192" t="s">
        <v>660</v>
      </c>
      <c r="BF12" s="192" t="s">
        <v>660</v>
      </c>
      <c r="BG12" s="192" t="s">
        <v>660</v>
      </c>
      <c r="BH12" s="192" t="s">
        <v>660</v>
      </c>
      <c r="BI12" s="192" t="s">
        <v>660</v>
      </c>
      <c r="BJ12" s="192" t="s">
        <v>660</v>
      </c>
      <c r="BK12" s="192" t="s">
        <v>660</v>
      </c>
      <c r="BL12" s="192" t="s">
        <v>660</v>
      </c>
      <c r="BM12" s="192" t="s">
        <v>660</v>
      </c>
      <c r="BN12" s="192" t="s">
        <v>660</v>
      </c>
      <c r="BO12" s="192" t="s">
        <v>660</v>
      </c>
      <c r="BP12" s="192" t="s">
        <v>660</v>
      </c>
      <c r="BQ12" s="192" t="s">
        <v>660</v>
      </c>
      <c r="BR12" s="192" t="s">
        <v>660</v>
      </c>
      <c r="BS12" s="192" t="s">
        <v>660</v>
      </c>
      <c r="BT12" s="192" t="s">
        <v>660</v>
      </c>
      <c r="BU12" s="192" t="s">
        <v>660</v>
      </c>
      <c r="BV12" s="192" t="s">
        <v>51</v>
      </c>
      <c r="BW12" s="192" t="s">
        <v>660</v>
      </c>
      <c r="BX12" s="192" t="s">
        <v>733</v>
      </c>
      <c r="BY12" s="192" t="s">
        <v>265</v>
      </c>
      <c r="BZ12" s="192" t="s">
        <v>660</v>
      </c>
      <c r="CA12" s="192" t="s">
        <v>264</v>
      </c>
      <c r="CB12" s="192" t="s">
        <v>820</v>
      </c>
      <c r="CC12" s="192" t="s">
        <v>821</v>
      </c>
      <c r="CD12" s="192" t="s">
        <v>668</v>
      </c>
      <c r="CE12" s="192" t="s">
        <v>822</v>
      </c>
      <c r="CF12" s="192" t="s">
        <v>823</v>
      </c>
      <c r="CG12" s="192" t="s">
        <v>668</v>
      </c>
      <c r="CH12" s="192" t="s">
        <v>668</v>
      </c>
      <c r="CI12" s="192" t="s">
        <v>660</v>
      </c>
      <c r="CJ12" s="192" t="s">
        <v>673</v>
      </c>
      <c r="CK12" s="192" t="s">
        <v>717</v>
      </c>
      <c r="CL12" s="192" t="s">
        <v>824</v>
      </c>
      <c r="CM12" s="192" t="s">
        <v>805</v>
      </c>
      <c r="CN12" s="192" t="s">
        <v>825</v>
      </c>
      <c r="CO12" s="192" t="s">
        <v>826</v>
      </c>
      <c r="CP12" s="192" t="s">
        <v>270</v>
      </c>
      <c r="CQ12" s="192" t="s">
        <v>827</v>
      </c>
      <c r="CR12" s="192" t="s">
        <v>828</v>
      </c>
      <c r="CS12" s="192" t="s">
        <v>668</v>
      </c>
      <c r="CT12" s="192" t="s">
        <v>822</v>
      </c>
      <c r="CU12" s="192" t="s">
        <v>829</v>
      </c>
      <c r="CV12" s="192" t="s">
        <v>673</v>
      </c>
      <c r="CW12" s="192" t="s">
        <v>668</v>
      </c>
      <c r="CX12" s="192" t="s">
        <v>660</v>
      </c>
      <c r="CY12" s="192" t="s">
        <v>673</v>
      </c>
      <c r="CZ12" s="192" t="s">
        <v>206</v>
      </c>
      <c r="DA12" s="192" t="s">
        <v>660</v>
      </c>
      <c r="DB12" s="192" t="s">
        <v>830</v>
      </c>
      <c r="DC12" s="192" t="s">
        <v>267</v>
      </c>
      <c r="DD12" s="192" t="s">
        <v>660</v>
      </c>
      <c r="DE12" s="192" t="s">
        <v>242</v>
      </c>
      <c r="DF12" s="192" t="s">
        <v>831</v>
      </c>
      <c r="DG12" s="192" t="s">
        <v>814</v>
      </c>
      <c r="DH12" s="192" t="s">
        <v>668</v>
      </c>
      <c r="DI12" s="192" t="s">
        <v>822</v>
      </c>
      <c r="DJ12" s="192" t="s">
        <v>829</v>
      </c>
      <c r="DK12" s="192" t="s">
        <v>668</v>
      </c>
      <c r="DL12" s="192" t="s">
        <v>668</v>
      </c>
      <c r="DM12" s="192" t="s">
        <v>660</v>
      </c>
      <c r="DN12" s="192" t="s">
        <v>673</v>
      </c>
      <c r="DO12" s="192" t="s">
        <v>206</v>
      </c>
      <c r="DP12" s="192" t="s">
        <v>660</v>
      </c>
      <c r="DQ12" s="192" t="s">
        <v>733</v>
      </c>
      <c r="DR12" s="192" t="s">
        <v>261</v>
      </c>
      <c r="DS12" s="192" t="s">
        <v>660</v>
      </c>
      <c r="DT12" s="192" t="s">
        <v>260</v>
      </c>
      <c r="DU12" s="192" t="s">
        <v>832</v>
      </c>
      <c r="DV12" s="192" t="s">
        <v>832</v>
      </c>
      <c r="DW12" s="192" t="s">
        <v>673</v>
      </c>
      <c r="DX12" s="192" t="s">
        <v>822</v>
      </c>
      <c r="DY12" s="192" t="s">
        <v>829</v>
      </c>
      <c r="DZ12" s="192" t="s">
        <v>660</v>
      </c>
      <c r="EA12" s="192" t="s">
        <v>668</v>
      </c>
      <c r="EB12" s="192" t="s">
        <v>660</v>
      </c>
      <c r="EC12" s="192" t="s">
        <v>668</v>
      </c>
      <c r="ED12" s="192" t="s">
        <v>660</v>
      </c>
      <c r="EE12" s="192" t="s">
        <v>660</v>
      </c>
      <c r="EF12" s="192" t="s">
        <v>660</v>
      </c>
      <c r="EG12" s="192" t="s">
        <v>660</v>
      </c>
      <c r="EH12" s="192" t="s">
        <v>660</v>
      </c>
      <c r="EI12" s="192" t="s">
        <v>660</v>
      </c>
      <c r="EJ12" s="192" t="s">
        <v>660</v>
      </c>
      <c r="EK12" s="192" t="s">
        <v>660</v>
      </c>
      <c r="EL12" s="192" t="s">
        <v>660</v>
      </c>
      <c r="EM12" s="192" t="s">
        <v>660</v>
      </c>
      <c r="EN12" s="192" t="s">
        <v>660</v>
      </c>
      <c r="EO12" s="192" t="s">
        <v>660</v>
      </c>
      <c r="EP12" s="192" t="s">
        <v>660</v>
      </c>
      <c r="EQ12" s="192" t="s">
        <v>660</v>
      </c>
      <c r="ER12" s="192" t="s">
        <v>660</v>
      </c>
      <c r="ES12" s="192" t="s">
        <v>660</v>
      </c>
      <c r="ET12" s="192" t="s">
        <v>660</v>
      </c>
      <c r="EU12" s="192" t="s">
        <v>660</v>
      </c>
      <c r="EV12" s="192" t="s">
        <v>660</v>
      </c>
      <c r="EW12" s="192" t="s">
        <v>660</v>
      </c>
      <c r="EX12" s="192" t="s">
        <v>660</v>
      </c>
      <c r="EY12" s="192" t="s">
        <v>660</v>
      </c>
      <c r="EZ12" s="192" t="s">
        <v>660</v>
      </c>
      <c r="FA12" s="192" t="s">
        <v>660</v>
      </c>
      <c r="FB12" s="192" t="s">
        <v>660</v>
      </c>
      <c r="FC12" s="192" t="s">
        <v>660</v>
      </c>
      <c r="FD12" s="192" t="s">
        <v>660</v>
      </c>
      <c r="FE12" s="192" t="s">
        <v>660</v>
      </c>
      <c r="FF12" s="192" t="s">
        <v>660</v>
      </c>
      <c r="FG12" s="192" t="s">
        <v>660</v>
      </c>
      <c r="FH12" s="192" t="s">
        <v>833</v>
      </c>
      <c r="FI12" s="192" t="s">
        <v>674</v>
      </c>
      <c r="FJ12" s="192" t="s">
        <v>660</v>
      </c>
    </row>
    <row r="13" spans="1:166" ht="375">
      <c r="A13" s="196">
        <v>46125.716643518521</v>
      </c>
      <c r="B13" s="196">
        <v>46125.734965277778</v>
      </c>
      <c r="C13" s="192" t="s">
        <v>507</v>
      </c>
      <c r="D13" s="192" t="s">
        <v>834</v>
      </c>
      <c r="E13">
        <v>100</v>
      </c>
      <c r="F13">
        <v>1582</v>
      </c>
      <c r="G13" s="192" t="s">
        <v>658</v>
      </c>
      <c r="H13" s="196">
        <v>46125.734975486113</v>
      </c>
      <c r="I13" s="192" t="s">
        <v>835</v>
      </c>
      <c r="J13" s="192" t="s">
        <v>660</v>
      </c>
      <c r="K13" s="192" t="s">
        <v>660</v>
      </c>
      <c r="L13" s="192" t="s">
        <v>660</v>
      </c>
      <c r="M13" s="192" t="s">
        <v>660</v>
      </c>
      <c r="N13">
        <v>59.9056</v>
      </c>
      <c r="O13">
        <v>10.7494</v>
      </c>
      <c r="P13" s="192" t="s">
        <v>661</v>
      </c>
      <c r="Q13" s="192" t="s">
        <v>662</v>
      </c>
      <c r="R13" s="192" t="s">
        <v>10</v>
      </c>
      <c r="S13" s="192" t="s">
        <v>836</v>
      </c>
      <c r="T13" s="192" t="s">
        <v>660</v>
      </c>
      <c r="U13" s="192" t="s">
        <v>660</v>
      </c>
      <c r="V13" s="192" t="s">
        <v>660</v>
      </c>
      <c r="W13" s="192" t="s">
        <v>253</v>
      </c>
      <c r="X13" s="192" t="s">
        <v>660</v>
      </c>
      <c r="Y13" s="192" t="s">
        <v>660</v>
      </c>
      <c r="Z13" s="192" t="s">
        <v>246</v>
      </c>
      <c r="AA13" s="192" t="s">
        <v>250</v>
      </c>
      <c r="AB13" s="192" t="s">
        <v>660</v>
      </c>
      <c r="AC13" s="192" t="s">
        <v>660</v>
      </c>
      <c r="AD13" s="192" t="s">
        <v>660</v>
      </c>
      <c r="AE13" s="192" t="s">
        <v>660</v>
      </c>
      <c r="AF13" s="192" t="s">
        <v>660</v>
      </c>
      <c r="AG13" s="192" t="s">
        <v>660</v>
      </c>
      <c r="AH13" s="192" t="s">
        <v>660</v>
      </c>
      <c r="AI13" s="192" t="s">
        <v>660</v>
      </c>
      <c r="AJ13" s="192" t="s">
        <v>660</v>
      </c>
      <c r="AK13" s="192" t="s">
        <v>660</v>
      </c>
      <c r="AL13" s="192" t="s">
        <v>660</v>
      </c>
      <c r="AM13" s="192" t="s">
        <v>660</v>
      </c>
      <c r="AN13" s="192" t="s">
        <v>660</v>
      </c>
      <c r="AO13" s="192" t="s">
        <v>660</v>
      </c>
      <c r="AP13" s="192" t="s">
        <v>660</v>
      </c>
      <c r="AQ13" s="192" t="s">
        <v>660</v>
      </c>
      <c r="AR13" s="192" t="s">
        <v>660</v>
      </c>
      <c r="AS13" s="192" t="s">
        <v>660</v>
      </c>
      <c r="AT13" s="192" t="s">
        <v>660</v>
      </c>
      <c r="AU13" s="192" t="s">
        <v>660</v>
      </c>
      <c r="AV13" s="192" t="s">
        <v>660</v>
      </c>
      <c r="AW13" s="192" t="s">
        <v>660</v>
      </c>
      <c r="AX13" s="192" t="s">
        <v>660</v>
      </c>
      <c r="AY13" s="192" t="s">
        <v>660</v>
      </c>
      <c r="AZ13" s="192" t="s">
        <v>660</v>
      </c>
      <c r="BA13" s="192" t="s">
        <v>660</v>
      </c>
      <c r="BB13" s="192" t="s">
        <v>660</v>
      </c>
      <c r="BC13" s="192" t="s">
        <v>660</v>
      </c>
      <c r="BD13" s="192" t="s">
        <v>660</v>
      </c>
      <c r="BE13" s="192" t="s">
        <v>660</v>
      </c>
      <c r="BF13" s="192" t="s">
        <v>660</v>
      </c>
      <c r="BG13" s="192" t="s">
        <v>660</v>
      </c>
      <c r="BH13" s="192" t="s">
        <v>660</v>
      </c>
      <c r="BI13" s="192" t="s">
        <v>660</v>
      </c>
      <c r="BJ13" s="192" t="s">
        <v>660</v>
      </c>
      <c r="BK13" s="192" t="s">
        <v>660</v>
      </c>
      <c r="BL13" s="192" t="s">
        <v>660</v>
      </c>
      <c r="BM13" s="192" t="s">
        <v>660</v>
      </c>
      <c r="BN13" s="192" t="s">
        <v>660</v>
      </c>
      <c r="BO13" s="192" t="s">
        <v>660</v>
      </c>
      <c r="BP13" s="192" t="s">
        <v>660</v>
      </c>
      <c r="BQ13" s="192" t="s">
        <v>660</v>
      </c>
      <c r="BR13" s="192" t="s">
        <v>660</v>
      </c>
      <c r="BS13" s="192" t="s">
        <v>660</v>
      </c>
      <c r="BT13" s="192" t="s">
        <v>660</v>
      </c>
      <c r="BU13" s="192" t="s">
        <v>660</v>
      </c>
      <c r="BV13" s="192" t="s">
        <v>206</v>
      </c>
      <c r="BW13" s="192" t="s">
        <v>660</v>
      </c>
      <c r="BX13" s="192" t="s">
        <v>733</v>
      </c>
      <c r="BY13" s="192" t="s">
        <v>159</v>
      </c>
      <c r="BZ13" s="192" t="s">
        <v>660</v>
      </c>
      <c r="CA13" s="192" t="s">
        <v>254</v>
      </c>
      <c r="CB13" s="192" t="s">
        <v>687</v>
      </c>
      <c r="CC13" s="192" t="s">
        <v>837</v>
      </c>
      <c r="CD13" s="192" t="s">
        <v>668</v>
      </c>
      <c r="CE13" s="192" t="s">
        <v>838</v>
      </c>
      <c r="CF13" s="192" t="s">
        <v>839</v>
      </c>
      <c r="CG13" s="192" t="s">
        <v>673</v>
      </c>
      <c r="CH13" s="192" t="s">
        <v>673</v>
      </c>
      <c r="CI13" s="192" t="s">
        <v>673</v>
      </c>
      <c r="CJ13" s="192" t="s">
        <v>668</v>
      </c>
      <c r="CK13" s="192" t="s">
        <v>660</v>
      </c>
      <c r="CL13" s="192" t="s">
        <v>660</v>
      </c>
      <c r="CM13" s="192" t="s">
        <v>660</v>
      </c>
      <c r="CN13" s="192" t="s">
        <v>660</v>
      </c>
      <c r="CO13" s="192" t="s">
        <v>660</v>
      </c>
      <c r="CP13" s="192" t="s">
        <v>660</v>
      </c>
      <c r="CQ13" s="192" t="s">
        <v>660</v>
      </c>
      <c r="CR13" s="192" t="s">
        <v>660</v>
      </c>
      <c r="CS13" s="192" t="s">
        <v>660</v>
      </c>
      <c r="CT13" s="192" t="s">
        <v>660</v>
      </c>
      <c r="CU13" s="192" t="s">
        <v>660</v>
      </c>
      <c r="CV13" s="192" t="s">
        <v>660</v>
      </c>
      <c r="CW13" s="192" t="s">
        <v>660</v>
      </c>
      <c r="CX13" s="192" t="s">
        <v>660</v>
      </c>
      <c r="CY13" s="192" t="s">
        <v>660</v>
      </c>
      <c r="CZ13" s="192" t="s">
        <v>660</v>
      </c>
      <c r="DA13" s="192" t="s">
        <v>660</v>
      </c>
      <c r="DB13" s="192" t="s">
        <v>660</v>
      </c>
      <c r="DC13" s="192" t="s">
        <v>660</v>
      </c>
      <c r="DD13" s="192" t="s">
        <v>660</v>
      </c>
      <c r="DE13" s="192" t="s">
        <v>660</v>
      </c>
      <c r="DF13" s="192" t="s">
        <v>660</v>
      </c>
      <c r="DG13" s="192" t="s">
        <v>660</v>
      </c>
      <c r="DH13" s="192" t="s">
        <v>660</v>
      </c>
      <c r="DI13" s="192" t="s">
        <v>660</v>
      </c>
      <c r="DJ13" s="192" t="s">
        <v>660</v>
      </c>
      <c r="DK13" s="192" t="s">
        <v>660</v>
      </c>
      <c r="DL13" s="192" t="s">
        <v>660</v>
      </c>
      <c r="DM13" s="192" t="s">
        <v>660</v>
      </c>
      <c r="DN13" s="192" t="s">
        <v>660</v>
      </c>
      <c r="DO13" s="192" t="s">
        <v>181</v>
      </c>
      <c r="DP13" s="192" t="s">
        <v>840</v>
      </c>
      <c r="DQ13" s="192" t="s">
        <v>805</v>
      </c>
      <c r="DR13" s="192" t="s">
        <v>236</v>
      </c>
      <c r="DS13" s="192" t="s">
        <v>660</v>
      </c>
      <c r="DT13" s="192" t="s">
        <v>248</v>
      </c>
      <c r="DU13" s="192" t="s">
        <v>841</v>
      </c>
      <c r="DV13" s="192" t="s">
        <v>842</v>
      </c>
      <c r="DW13" s="192" t="s">
        <v>673</v>
      </c>
      <c r="DX13" s="192" t="s">
        <v>843</v>
      </c>
      <c r="DY13" s="192" t="s">
        <v>844</v>
      </c>
      <c r="DZ13" s="192" t="s">
        <v>673</v>
      </c>
      <c r="EA13" s="192" t="s">
        <v>673</v>
      </c>
      <c r="EB13" s="192" t="s">
        <v>673</v>
      </c>
      <c r="EC13" s="192" t="s">
        <v>668</v>
      </c>
      <c r="ED13" s="192" t="s">
        <v>141</v>
      </c>
      <c r="EE13" s="192" t="s">
        <v>660</v>
      </c>
      <c r="EF13" s="192" t="s">
        <v>830</v>
      </c>
      <c r="EG13" s="192" t="s">
        <v>135</v>
      </c>
      <c r="EH13" s="192" t="s">
        <v>660</v>
      </c>
      <c r="EI13" s="192" t="s">
        <v>251</v>
      </c>
      <c r="EJ13" s="192" t="s">
        <v>682</v>
      </c>
      <c r="EK13" s="192" t="s">
        <v>845</v>
      </c>
      <c r="EL13" s="192" t="s">
        <v>668</v>
      </c>
      <c r="EM13" s="192" t="s">
        <v>846</v>
      </c>
      <c r="EN13" s="192" t="s">
        <v>847</v>
      </c>
      <c r="EO13" s="192" t="s">
        <v>673</v>
      </c>
      <c r="EP13" s="192" t="s">
        <v>668</v>
      </c>
      <c r="EQ13" s="192" t="s">
        <v>668</v>
      </c>
      <c r="ER13" s="192" t="s">
        <v>668</v>
      </c>
      <c r="ES13" s="192" t="s">
        <v>660</v>
      </c>
      <c r="ET13" s="192" t="s">
        <v>660</v>
      </c>
      <c r="EU13" s="192" t="s">
        <v>660</v>
      </c>
      <c r="EV13" s="192" t="s">
        <v>660</v>
      </c>
      <c r="EW13" s="192" t="s">
        <v>660</v>
      </c>
      <c r="EX13" s="192" t="s">
        <v>660</v>
      </c>
      <c r="EY13" s="192" t="s">
        <v>660</v>
      </c>
      <c r="EZ13" s="192" t="s">
        <v>660</v>
      </c>
      <c r="FA13" s="192" t="s">
        <v>660</v>
      </c>
      <c r="FB13" s="192" t="s">
        <v>660</v>
      </c>
      <c r="FC13" s="192" t="s">
        <v>660</v>
      </c>
      <c r="FD13" s="192" t="s">
        <v>660</v>
      </c>
      <c r="FE13" s="192" t="s">
        <v>660</v>
      </c>
      <c r="FF13" s="192" t="s">
        <v>660</v>
      </c>
      <c r="FG13" s="192" t="s">
        <v>660</v>
      </c>
      <c r="FH13" s="192" t="s">
        <v>848</v>
      </c>
      <c r="FI13" s="192" t="s">
        <v>674</v>
      </c>
      <c r="FJ13" s="192" t="s">
        <v>660</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6A700F568A8F44FB5572D48D77AF16E" ma:contentTypeVersion="22" ma:contentTypeDescription="Create a new document." ma:contentTypeScope="" ma:versionID="57cf659722a95c209112f6684d5e6889">
  <xsd:schema xmlns:xsd="http://www.w3.org/2001/XMLSchema" xmlns:xs="http://www.w3.org/2001/XMLSchema" xmlns:p="http://schemas.microsoft.com/office/2006/metadata/properties" xmlns:ns2="21ac6e19-afa4-43f8-b847-5980d33f22f2" xmlns:ns3="382fedd6-d12c-4aa1-84dc-6338ea40e809" targetNamespace="http://schemas.microsoft.com/office/2006/metadata/properties" ma:root="true" ma:fieldsID="8b812f511552645f57a4ce124857fba3" ns2:_="" ns3:_="">
    <xsd:import namespace="21ac6e19-afa4-43f8-b847-5980d33f22f2"/>
    <xsd:import namespace="382fedd6-d12c-4aa1-84dc-6338ea40e809"/>
    <xsd:element name="properties">
      <xsd:complexType>
        <xsd:sequence>
          <xsd:element name="documentManagement">
            <xsd:complexType>
              <xsd:all>
                <xsd:element ref="ns2:i0f84bba906045b4af568ee102a52dcb" minOccurs="0"/>
                <xsd:element ref="ns2:TaxCatchAll" minOccurs="0"/>
                <xsd:element ref="ns2:RevIMDeletionDate" minOccurs="0"/>
                <xsd:element ref="ns2:RevIMEventDate" minOccurs="0"/>
                <xsd:element ref="ns2:RevIMComments" minOccurs="0"/>
                <xsd:element ref="ns2:RevIMDocumentOwner" minOccurs="0"/>
                <xsd:element ref="ns2:RevIMExtend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OCR" minOccurs="0"/>
                <xsd:element ref="ns3:MediaServiceGenerationTime" minOccurs="0"/>
                <xsd:element ref="ns3:MediaServiceEventHashCode" minOccurs="0"/>
                <xsd:element ref="ns3:MediaServiceBillingMetadata" minOccurs="0"/>
                <xsd:element ref="ns3:MediaLengthInSeconds" minOccurs="0"/>
                <xsd:element ref="ns2:RevIMDateOfModified2Creation" minOccurs="0"/>
                <xsd:element ref="ns2:RevIMDeclareTime"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ac6e19-afa4-43f8-b847-5980d33f22f2" elementFormDefault="qualified">
    <xsd:import namespace="http://schemas.microsoft.com/office/2006/documentManagement/types"/>
    <xsd:import namespace="http://schemas.microsoft.com/office/infopath/2007/PartnerControls"/>
    <xsd:element name="i0f84bba906045b4af568ee102a52dcb" ma:index="9" nillable="true" ma:taxonomy="true" ma:internalName="i0f84bba906045b4af568ee102a52dcb" ma:taxonomyFieldName="RevIMBCS" ma:displayName="CSD Class" ma:readOnly="true" ma:default="1;#0.2 Working documents|860f14b0-beae-495c-93e3-3187f714d4fc" ma:fieldId="{20f84bba-9060-45b4-af56-8ee102a52dcb}" ma:sspId="11f93a7e-e8d8-45f1-8a13-907dadde1127" ma:termSetId="b795bf2d-8abe-423c-bac8-6c6bed63d3a6" ma:anchorId="00000000-0000-0000-0000-000000000000" ma:open="false" ma:isKeyword="false">
      <xsd:complexType>
        <xsd:sequence>
          <xsd:element ref="pc:Terms" minOccurs="0" maxOccurs="1"/>
        </xsd:sequence>
      </xsd:complexType>
    </xsd:element>
    <xsd:element name="TaxCatchAll" ma:index="10" nillable="true" ma:displayName="Taxonomy Catch All Column" ma:hidden="true" ma:list="{6b1e0f9a-90d8-4e36-b65e-4f24ceaa353c}" ma:internalName="TaxCatchAll" ma:showField="CatchAllData" ma:web="21ac6e19-afa4-43f8-b847-5980d33f22f2">
      <xsd:complexType>
        <xsd:complexContent>
          <xsd:extension base="dms:MultiChoiceLookup">
            <xsd:sequence>
              <xsd:element name="Value" type="dms:Lookup" maxOccurs="unbounded" minOccurs="0" nillable="true"/>
            </xsd:sequence>
          </xsd:extension>
        </xsd:complexContent>
      </xsd:complexType>
    </xsd:element>
    <xsd:element name="RevIMDeletionDate" ma:index="11" nillable="true" ma:displayName="Deletion Date" ma:description="Deletion Date" ma:format="DateOnly" ma:internalName="RevIMDeletionDate" ma:readOnly="true">
      <xsd:simpleType>
        <xsd:restriction base="dms:DateTime"/>
      </xsd:simpleType>
    </xsd:element>
    <xsd:element name="RevIMEventDate" ma:index="12" nillable="true" ma:displayName="Event Date" ma:description="Event Date" ma:format="DateOnly" ma:internalName="RevIMEventDate" ma:readOnly="true">
      <xsd:simpleType>
        <xsd:restriction base="dms:DateTime"/>
      </xsd:simpleType>
    </xsd:element>
    <xsd:element name="RevIMComments" ma:index="13" nillable="true" ma:displayName="Event Comment" ma:internalName="RevIMComments" ma:readOnly="true">
      <xsd:simpleType>
        <xsd:restriction base="dms:Note">
          <xsd:maxLength value="255"/>
        </xsd:restriction>
      </xsd:simpleType>
    </xsd:element>
    <xsd:element name="RevIMDocumentOwner" ma:index="14" nillable="true" ma:displayName="Document Owner" ma:list="UserInfo" ma:internalName="RevIMDocumentOw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vIMExtends" ma:index="15" nillable="true" ma:displayName="RevIMExtends" ma:hidden="true" ma:internalName="RevIMExtends" ma:readOnly="true">
      <xsd:simpleType>
        <xsd:restriction base="dms:Note"/>
      </xsd:simpleType>
    </xsd:element>
    <xsd:element name="RevIMDateOfModified2Creation" ma:index="26" nillable="true" ma:displayName="Reclassification Date from Modified to Creation Class" ma:description="Reclassification Date from Modified to Creation Class" ma:format="DateOnly" ma:indexed="true" ma:internalName="RevIMDateOfModified2Creation" ma:readOnly="true">
      <xsd:simpleType>
        <xsd:restriction base="dms:DateTime"/>
      </xsd:simpleType>
    </xsd:element>
    <xsd:element name="RevIMDeclareTime" ma:index="27" nillable="true" ma:displayName="CSD Record Declaration Time" ma:description="CSD Record Declaration Time" ma:format="DateTime" ma:indexed="true" ma:internalName="RevIMDeclare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382fedd6-d12c-4aa1-84dc-6338ea40e809" elementFormDefault="qualified">
    <xsd:import namespace="http://schemas.microsoft.com/office/2006/documentManagement/types"/>
    <xsd:import namespace="http://schemas.microsoft.com/office/infopath/2007/PartnerControls"/>
    <xsd:element name="MediaServiceMetadata" ma:index="16" nillable="true" ma:displayName="MediaServiceMetadata" ma:hidden="true" ma:internalName="MediaServiceMetadata" ma:readOnly="true">
      <xsd:simpleType>
        <xsd:restriction base="dms:Note"/>
      </xsd:simpleType>
    </xsd:element>
    <xsd:element name="MediaServiceFastMetadata" ma:index="17" nillable="true" ma:displayName="MediaServiceFastMetadata" ma:hidden="true" ma:internalName="MediaServiceFastMetadata" ma:readOnly="true">
      <xsd:simpleType>
        <xsd:restriction base="dms:Note"/>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11f93a7e-e8d8-45f1-8a13-907dadde1127"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1ac6e19-afa4-43f8-b847-5980d33f22f2">
      <Value>1</Value>
    </TaxCatchAll>
    <RevIMDocumentOwner xmlns="21ac6e19-afa4-43f8-b847-5980d33f22f2">
      <UserInfo>
        <DisplayName/>
        <AccountId xsi:nil="true"/>
        <AccountType/>
      </UserInfo>
    </RevIMDocumentOwner>
    <RevIMComments xmlns="21ac6e19-afa4-43f8-b847-5980d33f22f2" xsi:nil="true"/>
    <RevIMDeletionDate xmlns="21ac6e19-afa4-43f8-b847-5980d33f22f2">2030-03-23T09:17:20+00:00</RevIMDeletionDate>
    <i0f84bba906045b4af568ee102a52dcb xmlns="21ac6e19-afa4-43f8-b847-5980d33f22f2">
      <Terms xmlns="http://schemas.microsoft.com/office/infopath/2007/PartnerControls">
        <TermInfo xmlns="http://schemas.microsoft.com/office/infopath/2007/PartnerControls">
          <TermName xmlns="http://schemas.microsoft.com/office/infopath/2007/PartnerControls">0.2 Working documents</TermName>
          <TermId xmlns="http://schemas.microsoft.com/office/infopath/2007/PartnerControls">860f14b0-beae-495c-93e3-3187f714d4fc</TermId>
        </TermInfo>
      </Terms>
    </i0f84bba906045b4af568ee102a52dcb>
    <RevIMEventDate xmlns="21ac6e19-afa4-43f8-b847-5980d33f22f2" xsi:nil="true"/>
    <RevIMExtends xmlns="21ac6e19-afa4-43f8-b847-5980d33f22f2">{"Locked":null,"LockedBy":null,"UnLocked":null,"UnLockedBy":null,"KSUClass":"860f14b0-beae-495c-93e3-3187f714d4fc","Classified":"2026-03-23T09:50:21.752Z","Reclassified":null,"ReclassifiedBy":null,"EDReclassified":null,"EDReclassifiedBy":null,"EventCreated":null,"EventModified":null,"EventDeleted":null,"EventCreatedBy":null,"EventModifiedBy":null,"EventDeletedBy":null,"Moved":null,"MovedBy":null,"MovedFrom":null,"IsMoving":null,"MoveStartTime":null}</RevIMExtends>
    <lcf76f155ced4ddcb4097134ff3c332f xmlns="382fedd6-d12c-4aa1-84dc-6338ea40e80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E64FF0A-CE14-484B-AC23-461275EACC19}"/>
</file>

<file path=customXml/itemProps2.xml><?xml version="1.0" encoding="utf-8"?>
<ds:datastoreItem xmlns:ds="http://schemas.openxmlformats.org/officeDocument/2006/customXml" ds:itemID="{BCFF55F0-0076-49CF-93AC-47F9584E6ED4}"/>
</file>

<file path=customXml/itemProps3.xml><?xml version="1.0" encoding="utf-8"?>
<ds:datastoreItem xmlns:ds="http://schemas.openxmlformats.org/officeDocument/2006/customXml" ds:itemID="{5AD3F97A-CA44-4477-B080-231067F1113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Frank, Lukas (VMK3)</dc:creator>
  <cp:keywords/>
  <dc:description/>
  <cp:lastModifiedBy/>
  <cp:revision/>
  <dcterms:created xsi:type="dcterms:W3CDTF">2015-06-05T18:19:34Z</dcterms:created>
  <dcterms:modified xsi:type="dcterms:W3CDTF">2026-04-21T16:11:06Z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0x01010066A700F568A8F44FB5572D48D77AF16E</vt:lpwstr>
  </property>
  <property fmtid="{D5CDD505-2E9C-101B-9397-08002B2CF9AE}" pid="3" name="RevIMBCS">
    <vt:lpwstr>1;#0.2 Working documents|860f14b0-beae-495c-93e3-3187f714d4fc</vt:lpwstr>
  </property>
  <property fmtid="{D5CDD505-2E9C-101B-9397-08002B2CF9AE}" pid="4" name="MSIP_Label_8e19d756-792e-42a1-bcad-4cb9051ddd2d_Enabled">
    <vt:lpwstr>true</vt:lpwstr>
  </property>
  <property fmtid="{D5CDD505-2E9C-101B-9397-08002B2CF9AE}" pid="5" name="MSIP_Label_8e19d756-792e-42a1-bcad-4cb9051ddd2d_SetDate">
    <vt:lpwstr>2026-02-13T15:56:10Z</vt:lpwstr>
  </property>
  <property fmtid="{D5CDD505-2E9C-101B-9397-08002B2CF9AE}" pid="6" name="MSIP_Label_8e19d756-792e-42a1-bcad-4cb9051ddd2d_Method">
    <vt:lpwstr>Standard</vt:lpwstr>
  </property>
  <property fmtid="{D5CDD505-2E9C-101B-9397-08002B2CF9AE}" pid="7" name="MSIP_Label_8e19d756-792e-42a1-bcad-4cb9051ddd2d_Name">
    <vt:lpwstr>Confidential</vt:lpwstr>
  </property>
  <property fmtid="{D5CDD505-2E9C-101B-9397-08002B2CF9AE}" pid="8" name="MSIP_Label_8e19d756-792e-42a1-bcad-4cb9051ddd2d_SiteId">
    <vt:lpwstr>41eb501a-f671-4ce0-a5bf-b64168c3705f</vt:lpwstr>
  </property>
  <property fmtid="{D5CDD505-2E9C-101B-9397-08002B2CF9AE}" pid="9" name="MSIP_Label_8e19d756-792e-42a1-bcad-4cb9051ddd2d_ActionId">
    <vt:lpwstr>b5c1ca28-18a4-4347-aeb9-3b0a81e70efa</vt:lpwstr>
  </property>
  <property fmtid="{D5CDD505-2E9C-101B-9397-08002B2CF9AE}" pid="10" name="MSIP_Label_8e19d756-792e-42a1-bcad-4cb9051ddd2d_ContentBits">
    <vt:lpwstr>2</vt:lpwstr>
  </property>
  <property fmtid="{D5CDD505-2E9C-101B-9397-08002B2CF9AE}" pid="11" name="MSIP_Label_8e19d756-792e-42a1-bcad-4cb9051ddd2d_Tag">
    <vt:lpwstr>10, 3, 0, 1</vt:lpwstr>
  </property>
  <property fmtid="{D5CDD505-2E9C-101B-9397-08002B2CF9AE}" pid="12" name="MediaServiceImageTags">
    <vt:lpwstr/>
  </property>
</Properties>
</file>